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tc={c3a224b1-209a-4b32-b4dc-4810452bc081}</author>
  </authors>
  <commentList>
    <comment authorId="0" ref="A10">
      <text>
        <t xml:space="preserve">New risk register for iteration 1</t>
      </text>
    </comment>
    <comment authorId="1" xr:uid="{c3a224b1-209a-4b32-b4dc-4810452bc081}" ref="F14">
      <text>
        <t xml:space="preserve">[Threaded comment]
 Your version of Excel allows you to read this threaded comment; however, any edits to it will get removed if the file is opened in a newer version of Excel. Learn more: https://go.microsoft.com/fwlink/?linkid=870924
Comment:
	It's costly because it can lead to team member dropping out.
</t>
      </text>
    </comment>
  </commentList>
</comments>
</file>

<file path=xl/sharedStrings.xml><?xml version="1.0" encoding="utf-8"?>
<sst xmlns="http://schemas.openxmlformats.org/spreadsheetml/2006/main" count="171" uniqueCount="127">
  <si>
    <t>Risk Category</t>
  </si>
  <si>
    <t>Risk Title</t>
  </si>
  <si>
    <t>Description</t>
  </si>
  <si>
    <t>Estimated
Likelihood 
of occurrence
(L: 1-5 with 1 lowest likelihood)</t>
  </si>
  <si>
    <t>Estimated 
Impact
(L:1-5 with 1 lowest impact)</t>
  </si>
  <si>
    <t>Estimated 
Retirement 
Cost (C: 1-5 with 1 lowest cost)</t>
  </si>
  <si>
    <t>Priority 
(lowest number has high priority) 
(6-L)*(6-I)*C)</t>
  </si>
  <si>
    <t>Responsible engineer</t>
  </si>
  <si>
    <t>Target completion date</t>
  </si>
  <si>
    <t>Detailed plan</t>
  </si>
  <si>
    <t>Execution summary</t>
  </si>
  <si>
    <t>Status</t>
  </si>
  <si>
    <t>Personel</t>
  </si>
  <si>
    <t>Loss team members</t>
  </si>
  <si>
    <t>One or more team members drop the class</t>
  </si>
  <si>
    <t>team leader and all members</t>
  </si>
  <si>
    <t>Redefine the project scope if necessary, and assign the tasks to other team members.</t>
  </si>
  <si>
    <t>Nobody dropped and our team remained intact.</t>
  </si>
  <si>
    <t>Closed</t>
  </si>
  <si>
    <t>add new team members</t>
  </si>
  <si>
    <t>One or more team members add in the middle of the project</t>
  </si>
  <si>
    <t>all members</t>
  </si>
  <si>
    <t>Immediate onboarding by sharing the necessary documentation, and transferring knowledge.</t>
  </si>
  <si>
    <t xml:space="preserve">Italia joined the team late; no issues otherwise. </t>
  </si>
  <si>
    <t>Lack of motivation or responsibility</t>
  </si>
  <si>
    <t xml:space="preserve">A member does not complete assigned work or misses agreed deadlines </t>
  </si>
  <si>
    <t>team leader</t>
  </si>
  <si>
    <t>Team leader needs to break down the small tasks, assign an owner and due date, review progress during standing up meetings and communicate early when help is needed.</t>
  </si>
  <si>
    <t>Some progress report entries were late, and some tagged requests went unanswered, so we agreed to reply when tagged and reassign anything blocked for more than a day.</t>
  </si>
  <si>
    <t>Communication</t>
  </si>
  <si>
    <t>duplicate work</t>
  </si>
  <si>
    <t>Two team members unknowningly implement the same feature or changes.</t>
  </si>
  <si>
    <t>team leader + all members</t>
  </si>
  <si>
    <t>Manage issues in the central place like GitHub project. Assigned work to one specific person each.</t>
  </si>
  <si>
    <t>There were a few features that ended up overlapping among user stories, but we did not have an instance of two members fully implementing the same feature. Usually one member would mention their changes and the other member would mention they have a user story with similar changes they have not begun yet.</t>
  </si>
  <si>
    <t>worked on wrong components</t>
  </si>
  <si>
    <t>A team member modified the wrong part of the system because the task or code hard to understand or not clear.</t>
  </si>
  <si>
    <t>team leader + design and implementation leader</t>
  </si>
  <si>
    <t>Add acceptance criteria and affected components in each task</t>
  </si>
  <si>
    <t>This was never an issue with our team.</t>
  </si>
  <si>
    <t>useless work</t>
  </si>
  <si>
    <t>Add new shiny framework, technlogy, or setup meeting that don't contribute directly to project progress.</t>
  </si>
  <si>
    <t>team leader + requirement leader</t>
  </si>
  <si>
    <t>Proritize work against the agreed project scope and confirm uncertain features before implementation.</t>
  </si>
  <si>
    <t>inconsistent work</t>
  </si>
  <si>
    <t>No coding standards including naming, branching, and formating.</t>
  </si>
  <si>
    <t>configuration leader + all members</t>
  </si>
  <si>
    <t>Add linter into source code, agree on coding conventions, and review changes through pull requests.</t>
  </si>
  <si>
    <t>multiple toolings</t>
  </si>
  <si>
    <t>Share documentations in multiple platforms including Discord, Drive, and Git leading to hard to keep track of and someone might get access to</t>
  </si>
  <si>
    <t>Consolidate tools by using Discord for chat only, drive for live documentations, and Github for source code and final documentation or read me file.</t>
  </si>
  <si>
    <t xml:space="preserve">Requirements </t>
  </si>
  <si>
    <t>unclear requirements</t>
  </si>
  <si>
    <t>The team does not have enough detail to determine what a feature should do.</t>
  </si>
  <si>
    <t>requirement leader + design and implementaion leader</t>
  </si>
  <si>
    <t>Use AI for quick prototypes the idea or play around with the existing legacy app if there is any.</t>
  </si>
  <si>
    <t>The D&amp;I Lead created a prototype web app that allowed the team members to know what the pages and functionality should look like. Also, if there were any questions, we would discss as a team.</t>
  </si>
  <si>
    <t>scope creep</t>
  </si>
  <si>
    <t>New features are added after the scope has been agreed.</t>
  </si>
  <si>
    <t>Add new ideas to the backlog and only implement when teams agree there is enough time.</t>
  </si>
  <si>
    <t>Mostly avoided: we cut scope each iteration to keep the product stable. One story was added late (#148, inline price editing) after the pricing discussion on 10/10, and the team agreed to it.</t>
  </si>
  <si>
    <t>constant requirements changes</t>
  </si>
  <si>
    <t>Frequent changes cause rework and make it difficult to finish planned features.</t>
  </si>
  <si>
    <t>requirement leader + team leader</t>
  </si>
  <si>
    <t>Track progress and keep inform all members</t>
  </si>
  <si>
    <t>Requirements changed several times. Pricing moved from the products table to inline editing on the Inventory page (#148), separate reports were combined into one, and stories moved between iterations. Each change was agreed at a team meeting and recorded in the SPPP.</t>
  </si>
  <si>
    <t>Management</t>
  </si>
  <si>
    <t>improper task assignments</t>
  </si>
  <si>
    <t>Tasks are assigned without considering each member's skills, workload, or dependencies</t>
  </si>
  <si>
    <t>Estimate tasks, consider dependencies and individual strengths, and balance workload across the team.</t>
  </si>
  <si>
    <t>improper planning</t>
  </si>
  <si>
    <t>The team underestimated work or does not have enough time for testing idea or writting documentation.</t>
  </si>
  <si>
    <t>Group features and identity dependencies for each release. Create a meeting to reflect on previous works.</t>
  </si>
  <si>
    <t>This happened every iteration. Stories moved from Iteration 1 to 2 and from 2 to 3 (#48, execute sale, #19, #17, low-stock alerts, account switching, price check), no story reached Done in Iteration 2, and system tests were pushed to Iteration 3. We responded with planning poker estimates, PR and review deadlines, a pre-submission feedback meeting, and putting core POS features ahead of AI features.</t>
  </si>
  <si>
    <t>lack of management skills</t>
  </si>
  <si>
    <t>The team has difficulty coordinating work, resolving blockers, or making decisions</t>
  </si>
  <si>
    <t>Use short meetings, a shared task board, clear ownership, and an escalation process for blockers.</t>
  </si>
  <si>
    <t>Technology competence</t>
  </si>
  <si>
    <t>Not familiar with the framework used</t>
  </si>
  <si>
    <t>A team member lacks experience with the selected framework and needs more time than expected.</t>
  </si>
  <si>
    <t>Use AI for speeding up basic knowledge and create small proof-of-concept if there is any times.</t>
  </si>
  <si>
    <t>Each team member was able to use AI in order to complete their required tasks.</t>
  </si>
  <si>
    <t>Not familiar with the programming language used</t>
  </si>
  <si>
    <t>A team member has limited experience with a language required by the project</t>
  </si>
  <si>
    <t>Use AI for speeding up basic knowledge. Pair programming with experienced developers.</t>
  </si>
  <si>
    <t>Not familiar with unit testing</t>
  </si>
  <si>
    <t>Insufficient testing knowledge leads to weak tests, late defect discovery, or spent more time on fixing tests rather than deliver features.</t>
  </si>
  <si>
    <t>Agree early on what should be tested and required tests for important business logic.</t>
  </si>
  <si>
    <t>Each PR included unit tests or else they were called out. The Test Lead also created System Test tasks in order to make sure the user stories were fully tested.</t>
  </si>
  <si>
    <t>Other technology incompetence</t>
  </si>
  <si>
    <t>A required tool, library, API, or deployment technology is unfamiliar to the team.</t>
  </si>
  <si>
    <t>Use AI for validating unfamiliar technologies before integrating with the project.</t>
  </si>
  <si>
    <t>Not familiar with Git</t>
  </si>
  <si>
    <t>Git mistakes cause lot of work, difficult merges, or accidental changes to the shared branches.</t>
  </si>
  <si>
    <t>Reach out to experienced developer and resolve conflicts</t>
  </si>
  <si>
    <t>Design and implementation</t>
  </si>
  <si>
    <t>Improper design</t>
  </si>
  <si>
    <t>The initial architecture or design makes the system difficult to change, test, or maintain</t>
  </si>
  <si>
    <t>design and implementation leader</t>
  </si>
  <si>
    <t>Review architecture before implemeting major features. Keep it simple and open and make sure it meet current requirements.</t>
  </si>
  <si>
    <t>The backend structure worked well. However, the SDD described Clean Architecture as already built when it is the target design, so we relabelled it as the target in the SDD and the presentation.</t>
  </si>
  <si>
    <t>improper technology stack</t>
  </si>
  <si>
    <t>The selected technologies introduced unnecessary complexity or cannot satify project requirements.</t>
  </si>
  <si>
    <t>Evaluate the stack against requirements, team experienced, deployment constraints, and timeline.</t>
  </si>
  <si>
    <t>We had a few merge conflicts in GlobalExceptionHandler when several PRs added the same method, and one PR (#144) had to be retargeted after the branch it was built on merged. All were resolved during review.</t>
  </si>
  <si>
    <t>Messy code</t>
  </si>
  <si>
    <t>Inconsistent or overly complex code increases defects, hard to changes, and make collaboration harder.</t>
  </si>
  <si>
    <t>Setup at least two developers approved on pull request before merged to default branch. Ask for unit testing when code hard to read.</t>
  </si>
  <si>
    <t>Our SPPP requires two approvals on every code PR, but this was not always followed. In Iteration 2, 11 PRs were merged by their author with no approval, mostly CI, config and docs PRs. In Iteration 3 most feature PRs had two or more approvals, but a few CI and README PRs were still self-merged. CODEOWNERS was added to require reviewers.</t>
  </si>
  <si>
    <t xml:space="preserve">Testing </t>
  </si>
  <si>
    <t>Not enough testing</t>
  </si>
  <si>
    <t>Less code coverage on the required business requirement.</t>
  </si>
  <si>
    <t>QA leader + all members</t>
  </si>
  <si>
    <t>Setup test automation and integration with source control like Git. Monitor code coverage and block merged when percentage drop lower than what team agreed on.</t>
  </si>
  <si>
    <t>Automated testing and coverage went well: CI runs on every PR, with about 80% backend and 87% frontend line coverage. In Iteration 2, system tests were still blank templates. In Iteration 3, every story got a [TEST] issue with real steps and a second pass by the QA lead.</t>
  </si>
  <si>
    <t>Integration and deployment</t>
  </si>
  <si>
    <t>Not enough time for integration and deployment</t>
  </si>
  <si>
    <t>Spend more time on coding but don't have CI/CD in place and leading to environment specific problems.</t>
  </si>
  <si>
    <t>configuration leader</t>
  </si>
  <si>
    <t>Setup CI/CD as soon as the project getting started</t>
  </si>
  <si>
    <t>This happened. The AWS deploy failed on every push from 10/4 because the server's disk was full, and cleanup requests went unanswered for several days. The disk was cleared, and deploys are passing again as of 10/12.</t>
  </si>
  <si>
    <t>Security</t>
  </si>
  <si>
    <t>Secrets committed to repo</t>
  </si>
  <si>
    <t>The JWT signing key and database passwords were stored in application.yaml and docker-compose.yml while the app was deployed on a public IP, so anyone with the key could sign an admin token.</t>
  </si>
  <si>
    <t>security leader + configuration leader</t>
  </si>
  <si>
    <t>Move secrets to environment variables or GitHub secrets, store the deployed server's secrets in AWS Secrets Manager, and remove passwords from the README and SDD examples.</t>
  </si>
  <si>
    <t>This happened and was flagged in Iteration 1 and 2 feedback. Moved out of the property files and docker-compose in PR #150. Still needs to be merged to main for the release.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</si>
</sst>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
  </numFmts>
  <fonts count="9">
    <font>
      <sz val="10.0"/>
      <color rgb="FF000000"/>
      <name val="Arial"/>
    </font>
    <font>
      <color rgb="FFFF0000"/>
    </font>
    <font/>
    <font>
      <color rgb="FFFFFFFF"/>
      <name val="Roboto"/>
    </font>
    <font>
      <color rgb="FF434343"/>
      <name val="Arial"/>
    </font>
    <font>
      <color rgb="FF434343"/>
      <name val="Roboto"/>
    </font>
    <font>
      <name val="Arial"/>
    </font>
    <font>
      <color rgb="FF000000"/>
      <name val="Arial"/>
    </font>
    <font>
      <color rgb="FF000000"/>
      <name val="Roboto"/>
    </font>
  </fonts>
  <fills count="4">
    <fill>
      <patternFill patternType="none"/>
    </fill>
    <fill>
      <patternFill patternType="lightGray"/>
    </fill>
    <fill>
      <patternFill patternType="solid">
        <fgColor rgb="FFFFFFFF"/>
        <bgColor rgb="FFFFFFFF"/>
      </patternFill>
    </fill>
    <fill>
      <patternFill patternType="solid">
        <fgColor rgb="FFD9EAD3"/>
        <bgColor rgb="FFD9EAD3"/>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0" fontId="2" numFmtId="0" xfId="0" applyAlignment="1" applyFont="1">
      <alignment readingOrder="0" shrinkToFit="0" wrapText="1"/>
    </xf>
    <xf borderId="0" fillId="0" fontId="3" numFmtId="0" xfId="0" applyAlignment="1" applyFont="1">
      <alignment horizontal="left" readingOrder="0" shrinkToFit="0" vertical="center" wrapText="1"/>
    </xf>
    <xf borderId="0" fillId="0" fontId="4" numFmtId="0" xfId="0" applyAlignment="1" applyFont="1">
      <alignment readingOrder="0" shrinkToFit="0" vertical="bottom" wrapText="1"/>
    </xf>
    <xf borderId="0" fillId="0" fontId="5" numFmtId="0" xfId="0" applyAlignment="1" applyFont="1">
      <alignment readingOrder="0" shrinkToFit="0" vertical="center" wrapText="1"/>
    </xf>
    <xf borderId="0" fillId="0" fontId="4" numFmtId="0" xfId="0" applyAlignment="1" applyFont="1">
      <alignment horizontal="right" readingOrder="0" shrinkToFit="0" vertical="bottom" wrapText="1"/>
    </xf>
    <xf borderId="0" fillId="0" fontId="4" numFmtId="164" xfId="0" applyAlignment="1" applyFont="1" applyNumberFormat="1">
      <alignment readingOrder="0" shrinkToFit="0" vertical="bottom" wrapText="1"/>
    </xf>
    <xf borderId="0" fillId="0" fontId="4" numFmtId="0" xfId="0" applyAlignment="1" applyFont="1">
      <alignment readingOrder="0" shrinkToFit="0" vertical="bottom" wrapText="1"/>
    </xf>
    <xf borderId="0" fillId="0" fontId="6" numFmtId="0" xfId="0" applyAlignment="1" applyFont="1">
      <alignment vertical="bottom"/>
    </xf>
    <xf borderId="0" fillId="0" fontId="4" numFmtId="0" xfId="0" applyAlignment="1" applyFont="1">
      <alignment shrinkToFit="0" vertical="bottom" wrapText="1"/>
    </xf>
    <xf borderId="0" fillId="0" fontId="4" numFmtId="0" xfId="0" applyAlignment="1" applyFont="1">
      <alignment horizontal="right" shrinkToFit="0" vertical="bottom" wrapText="1"/>
    </xf>
    <xf borderId="0" fillId="0" fontId="5" numFmtId="0" xfId="0" applyAlignment="1" applyFont="1">
      <alignment readingOrder="0" shrinkToFit="0" vertical="center" wrapText="0"/>
    </xf>
    <xf borderId="0" fillId="0" fontId="5" numFmtId="0" xfId="0" applyAlignment="1" applyFont="1">
      <alignment shrinkToFit="0" vertical="center" wrapText="1"/>
    </xf>
    <xf borderId="0" fillId="3" fontId="7" numFmtId="0" xfId="0" applyAlignment="1" applyFill="1" applyFont="1">
      <alignment readingOrder="0" shrinkToFit="0" vertical="bottom" wrapText="1"/>
    </xf>
    <xf borderId="0" fillId="3" fontId="8" numFmtId="0" xfId="0" applyAlignment="1" applyFill="1" applyFont="1">
      <alignment readingOrder="0" shrinkToFit="0" vertical="center" wrapText="0"/>
    </xf>
    <xf borderId="0" fillId="3" fontId="7" numFmtId="0" xfId="0" applyAlignment="1" applyFill="1" applyFont="1">
      <alignment horizontal="right" readingOrder="0" shrinkToFit="0" vertical="bottom" wrapText="1"/>
    </xf>
    <xf borderId="0" fillId="3" fontId="7" numFmtId="0" xfId="0" applyAlignment="1" applyFill="1" applyFont="1">
      <alignment horizontal="right" shrinkToFit="0" vertical="bottom" wrapText="1"/>
    </xf>
    <xf borderId="0" fillId="3" fontId="7" numFmtId="0" xfId="0" applyAlignment="1" applyFill="1" applyFont="1">
      <alignment readingOrder="0" shrinkToFit="0" vertical="bottom" wrapText="1"/>
    </xf>
    <xf borderId="0" fillId="3" fontId="7" numFmtId="0" xfId="0" applyAlignment="1" applyFill="1" applyFont="1">
      <alignment vertical="bottom"/>
    </xf>
    <xf borderId="0" fillId="2" fontId="7" numFmtId="0" xfId="0" applyAlignment="1" applyFill="1" applyFont="1">
      <alignment horizontal="left" readingOrder="0" shrinkToFit="0" vertical="center" wrapText="1"/>
    </xf>
    <xf borderId="0" fillId="0" fontId="6" numFmtId="0" xfId="0" applyAlignment="1" applyFont="1">
      <alignment readingOrder="0" vertical="bottom"/>
    </xf>
    <xf borderId="0" fillId="0" fontId="6" numFmtId="0" xfId="0" applyAlignment="1" applyFont="1">
      <alignment horizontal="right" vertical="bottom"/>
    </xf>
    <xf borderId="0" fillId="0" fontId="6" numFmtId="0" xfId="0" applyAlignment="1" applyFont="1">
      <alignment horizontal="right" vertical="bottom"/>
    </xf>
    <xf borderId="0" fillId="0" fontId="6" numFmtId="165" xfId="0" applyAlignment="1" applyFont="1" applyNumberFormat="1">
      <alignment horizontal="right" vertical="bottom"/>
    </xf>
    <xf borderId="0" fillId="0" fontId="6" numFmtId="0" xfId="0" applyAlignment="1" applyFont="1">
      <alignment shrinkToFit="0" vertical="bottom" wrapText="0"/>
    </xf>
    <xf borderId="0" fillId="0" fontId="6" numFmtId="0" xfId="0" applyAlignment="1" applyFont="1">
      <alignment shrinkToFit="0" vertical="bottom"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imleng Lim" id="{9bf4894f-d191-43dc-9ed0-e846398be27f}" providerId="google-sheets"/>
</x18tc:personList>
</file>

<file path=xl/tables/table1.xml><?xml version="1.0" encoding="utf-8"?>
<table xmlns="http://schemas.openxmlformats.org/spreadsheetml/2006/main" ref="A2:L27" displayName="Table1" name="Table1" id="1">
  <tableColumns count="12">
    <tableColumn name="Risk Category" id="1"/>
    <tableColumn name="Risk Title" id="2"/>
    <tableColumn name="Description" id="3"/>
    <tableColumn name="Estimated_x000a_Likelihood _x000a_of occurrence_x000a_(L: 1-5 with 1 lowest likelihood)" id="4"/>
    <tableColumn name="Estimated _x000a_Impact_x000a_(L:1-5 with 1 lowest impact)" id="5"/>
    <tableColumn name="Estimated _x000a_Retirement _x000a_Cost (C: 1-5 with 1 lowest cost)" id="6"/>
    <tableColumn name="Priority _x000a_(lowest number has high priority) _x000a_(6-L)*(6-I)*C)" id="7"/>
    <tableColumn name="Responsible engineer" id="8"/>
    <tableColumn name="Target completion date" id="9"/>
    <tableColumn name="Detailed plan" id="10"/>
    <tableColumn name="Execution summary" id="11"/>
    <tableColumn name="Status" id="12"/>
  </tableColumns>
  <tableStyleInfo name="Sheet1-style" showColumnStripes="0" showFirstColumn="1" showLastColumn="1" showRowStripes="1"/>
</tabl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4" dT="2026-09-07T19:06:17.00" personId="{9bf4894f-d191-43dc-9ed0-e846398be27f}" id="{c3a224b1-209a-4b32-b4dc-4810452bc081}" done="0">
    <x18tc:text xml:space="preserve">It's costly because it can lead to team member dropping out.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14.13"/>
    <col customWidth="1" min="3" max="3" width="20.38"/>
    <col customWidth="1" min="4" max="4" width="16.75"/>
    <col customWidth="1" min="5" max="5" width="14.13"/>
    <col customWidth="1" min="6" max="6" width="13.75"/>
    <col customWidth="1" min="7" max="7" width="17.88"/>
    <col customWidth="1" min="8" max="8" width="15.13"/>
    <col customWidth="1" min="9" max="9" width="14.63"/>
    <col customWidth="1" min="10" max="10" width="18.5"/>
    <col customWidth="1" min="11" max="11" width="16.38"/>
    <col customWidth="1" min="12" max="12" width="13.5"/>
  </cols>
  <sheetData>
    <row r="1" ht="37.5" customHeight="1">
      <c r="A1" s="1"/>
      <c r="B1" s="2"/>
      <c r="C1" s="2"/>
      <c r="D1" s="2"/>
      <c r="E1" s="2"/>
      <c r="F1" s="2"/>
      <c r="G1" s="2"/>
      <c r="H1" s="2"/>
      <c r="I1" s="2"/>
      <c r="J1" s="2"/>
      <c r="K1" s="2"/>
    </row>
    <row r="2" ht="22.5" customHeight="1">
      <c r="A2" s="3" t="s">
        <v>0</v>
      </c>
      <c r="B2" s="3" t="s">
        <v>1</v>
      </c>
      <c r="C2" s="3" t="s">
        <v>2</v>
      </c>
      <c r="D2" s="3" t="s">
        <v>3</v>
      </c>
      <c r="E2" s="3" t="s">
        <v>4</v>
      </c>
      <c r="F2" s="3" t="s">
        <v>5</v>
      </c>
      <c r="G2" s="3" t="s">
        <v>6</v>
      </c>
      <c r="H2" s="3" t="s">
        <v>7</v>
      </c>
      <c r="I2" s="3" t="s">
        <v>8</v>
      </c>
      <c r="J2" s="3" t="s">
        <v>9</v>
      </c>
      <c r="K2" s="3" t="s">
        <v>10</v>
      </c>
      <c r="L2" s="3" t="s">
        <v>11</v>
      </c>
    </row>
    <row r="3" ht="22.5" customHeight="1">
      <c r="A3" s="4" t="s">
        <v>12</v>
      </c>
      <c r="B3" s="5" t="s">
        <v>13</v>
      </c>
      <c r="C3" s="4" t="s">
        <v>14</v>
      </c>
      <c r="D3" s="6">
        <v>1.0</v>
      </c>
      <c r="E3" s="6">
        <v>5.0</v>
      </c>
      <c r="F3" s="6">
        <v>4.0</v>
      </c>
      <c r="G3" s="6">
        <f t="shared" ref="G3:G4" si="1">(6-D3)*(6-E3)*F3</f>
        <v>20</v>
      </c>
      <c r="H3" s="4" t="s">
        <v>15</v>
      </c>
      <c r="I3" s="7">
        <v>46308.0</v>
      </c>
      <c r="J3" s="4" t="s">
        <v>16</v>
      </c>
      <c r="K3" s="4" t="s">
        <v>17</v>
      </c>
      <c r="L3" s="8" t="s">
        <v>18</v>
      </c>
      <c r="M3" s="9"/>
      <c r="N3" s="9"/>
      <c r="O3" s="9"/>
      <c r="P3" s="9"/>
      <c r="Q3" s="9"/>
      <c r="R3" s="9"/>
      <c r="S3" s="9"/>
      <c r="T3" s="9"/>
      <c r="U3" s="9"/>
      <c r="V3" s="9"/>
      <c r="W3" s="9"/>
      <c r="X3" s="9"/>
      <c r="Y3" s="9"/>
      <c r="Z3" s="9"/>
      <c r="AA3" s="9"/>
    </row>
    <row r="4" ht="22.5" customHeight="1">
      <c r="A4" s="10"/>
      <c r="B4" s="5" t="s">
        <v>19</v>
      </c>
      <c r="C4" s="4" t="s">
        <v>20</v>
      </c>
      <c r="D4" s="6">
        <v>1.0</v>
      </c>
      <c r="E4" s="6">
        <v>3.0</v>
      </c>
      <c r="F4" s="6">
        <v>3.0</v>
      </c>
      <c r="G4" s="11">
        <f t="shared" si="1"/>
        <v>45</v>
      </c>
      <c r="H4" s="4" t="s">
        <v>21</v>
      </c>
      <c r="I4" s="7">
        <v>46308.0</v>
      </c>
      <c r="J4" s="4" t="s">
        <v>22</v>
      </c>
      <c r="K4" s="4" t="s">
        <v>23</v>
      </c>
      <c r="L4" s="8" t="s">
        <v>18</v>
      </c>
      <c r="M4" s="9"/>
      <c r="N4" s="9"/>
      <c r="O4" s="9"/>
      <c r="P4" s="9"/>
      <c r="Q4" s="9"/>
      <c r="R4" s="9"/>
      <c r="S4" s="9"/>
      <c r="T4" s="9"/>
      <c r="U4" s="9"/>
      <c r="V4" s="9"/>
      <c r="W4" s="9"/>
      <c r="X4" s="9"/>
      <c r="Y4" s="9"/>
      <c r="Z4" s="9"/>
      <c r="AA4" s="9"/>
    </row>
    <row r="5" ht="22.5" customHeight="1">
      <c r="A5" s="10"/>
      <c r="B5" s="5" t="s">
        <v>24</v>
      </c>
      <c r="C5" s="4" t="s">
        <v>25</v>
      </c>
      <c r="D5" s="6">
        <v>4.0</v>
      </c>
      <c r="E5" s="6">
        <v>5.0</v>
      </c>
      <c r="F5" s="6">
        <v>4.0</v>
      </c>
      <c r="G5" s="6">
        <v>12.0</v>
      </c>
      <c r="H5" s="12" t="s">
        <v>26</v>
      </c>
      <c r="I5" s="7">
        <v>46308.0</v>
      </c>
      <c r="J5" s="4" t="s">
        <v>27</v>
      </c>
      <c r="K5" s="4" t="s">
        <v>28</v>
      </c>
      <c r="L5" s="8" t="s">
        <v>18</v>
      </c>
      <c r="M5" s="9"/>
      <c r="N5" s="9"/>
      <c r="O5" s="9"/>
      <c r="P5" s="9"/>
      <c r="Q5" s="9"/>
      <c r="R5" s="9"/>
      <c r="S5" s="9"/>
      <c r="T5" s="9"/>
      <c r="U5" s="9"/>
      <c r="V5" s="9"/>
      <c r="W5" s="9"/>
      <c r="X5" s="9"/>
      <c r="Y5" s="9"/>
      <c r="Z5" s="9"/>
      <c r="AA5" s="9"/>
    </row>
    <row r="6" ht="22.5" customHeight="1">
      <c r="A6" s="4" t="s">
        <v>29</v>
      </c>
      <c r="B6" s="5" t="s">
        <v>30</v>
      </c>
      <c r="C6" s="4" t="s">
        <v>31</v>
      </c>
      <c r="D6" s="6">
        <v>1.0</v>
      </c>
      <c r="E6" s="6">
        <v>1.0</v>
      </c>
      <c r="F6" s="6">
        <v>1.0</v>
      </c>
      <c r="G6" s="11">
        <f t="shared" ref="G6:G27" si="2">(6-D6)*(6-E6)*F6</f>
        <v>25</v>
      </c>
      <c r="H6" s="4" t="s">
        <v>32</v>
      </c>
      <c r="I6" s="7">
        <v>46308.0</v>
      </c>
      <c r="J6" s="4" t="s">
        <v>33</v>
      </c>
      <c r="K6" s="4" t="s">
        <v>34</v>
      </c>
      <c r="L6" s="8" t="s">
        <v>18</v>
      </c>
      <c r="M6" s="9"/>
      <c r="N6" s="9"/>
      <c r="O6" s="9"/>
      <c r="P6" s="9"/>
      <c r="Q6" s="9"/>
      <c r="R6" s="9"/>
      <c r="S6" s="9"/>
      <c r="T6" s="9"/>
      <c r="U6" s="9"/>
      <c r="V6" s="9"/>
      <c r="W6" s="9"/>
      <c r="X6" s="9"/>
      <c r="Y6" s="9"/>
      <c r="Z6" s="9"/>
      <c r="AA6" s="9"/>
    </row>
    <row r="7" ht="22.5" customHeight="1">
      <c r="A7" s="13"/>
      <c r="B7" s="5" t="s">
        <v>35</v>
      </c>
      <c r="C7" s="4" t="s">
        <v>36</v>
      </c>
      <c r="D7" s="6">
        <v>3.0</v>
      </c>
      <c r="E7" s="6">
        <v>2.0</v>
      </c>
      <c r="F7" s="6">
        <v>3.0</v>
      </c>
      <c r="G7" s="11">
        <f t="shared" si="2"/>
        <v>36</v>
      </c>
      <c r="H7" s="4" t="s">
        <v>37</v>
      </c>
      <c r="I7" s="7">
        <v>46308.0</v>
      </c>
      <c r="J7" s="4" t="s">
        <v>38</v>
      </c>
      <c r="K7" s="4" t="s">
        <v>39</v>
      </c>
      <c r="L7" s="8" t="s">
        <v>18</v>
      </c>
      <c r="M7" s="9"/>
      <c r="N7" s="9"/>
      <c r="O7" s="9"/>
      <c r="P7" s="9"/>
      <c r="Q7" s="9"/>
      <c r="R7" s="9"/>
      <c r="S7" s="9"/>
      <c r="T7" s="9"/>
      <c r="U7" s="9"/>
      <c r="V7" s="9"/>
      <c r="W7" s="9"/>
      <c r="X7" s="9"/>
      <c r="Y7" s="9"/>
      <c r="Z7" s="9"/>
      <c r="AA7" s="9"/>
    </row>
    <row r="8" ht="22.5" customHeight="1">
      <c r="A8" s="4"/>
      <c r="B8" s="5" t="s">
        <v>40</v>
      </c>
      <c r="C8" s="4" t="s">
        <v>41</v>
      </c>
      <c r="D8" s="6">
        <v>2.0</v>
      </c>
      <c r="E8" s="6">
        <v>4.0</v>
      </c>
      <c r="F8" s="6">
        <v>4.0</v>
      </c>
      <c r="G8" s="11">
        <f t="shared" si="2"/>
        <v>32</v>
      </c>
      <c r="H8" s="4" t="s">
        <v>42</v>
      </c>
      <c r="I8" s="7">
        <v>46308.0</v>
      </c>
      <c r="J8" s="4" t="s">
        <v>43</v>
      </c>
      <c r="K8" s="4" t="s">
        <v>39</v>
      </c>
      <c r="L8" s="8" t="s">
        <v>18</v>
      </c>
      <c r="M8" s="9"/>
      <c r="N8" s="9"/>
      <c r="O8" s="9"/>
      <c r="P8" s="9"/>
      <c r="Q8" s="9"/>
      <c r="R8" s="9"/>
      <c r="S8" s="9"/>
      <c r="T8" s="9"/>
      <c r="U8" s="9"/>
      <c r="V8" s="9"/>
      <c r="W8" s="9"/>
      <c r="X8" s="9"/>
      <c r="Y8" s="9"/>
      <c r="Z8" s="9"/>
      <c r="AA8" s="9"/>
    </row>
    <row r="9" ht="22.5" customHeight="1">
      <c r="A9" s="4"/>
      <c r="B9" s="12" t="s">
        <v>44</v>
      </c>
      <c r="C9" s="4" t="s">
        <v>45</v>
      </c>
      <c r="D9" s="6">
        <v>3.0</v>
      </c>
      <c r="E9" s="6">
        <v>2.0</v>
      </c>
      <c r="F9" s="6">
        <v>3.0</v>
      </c>
      <c r="G9" s="11">
        <f t="shared" si="2"/>
        <v>36</v>
      </c>
      <c r="H9" s="4" t="s">
        <v>46</v>
      </c>
      <c r="I9" s="7">
        <v>46308.0</v>
      </c>
      <c r="J9" s="4" t="s">
        <v>47</v>
      </c>
      <c r="K9" s="4" t="s">
        <v>39</v>
      </c>
      <c r="L9" s="8" t="s">
        <v>18</v>
      </c>
      <c r="M9" s="9"/>
      <c r="N9" s="9"/>
      <c r="O9" s="9"/>
      <c r="P9" s="9"/>
      <c r="Q9" s="9"/>
      <c r="R9" s="9"/>
      <c r="S9" s="9"/>
      <c r="T9" s="9"/>
      <c r="U9" s="9"/>
      <c r="V9" s="9"/>
      <c r="W9" s="9"/>
      <c r="X9" s="9"/>
      <c r="Y9" s="9"/>
      <c r="Z9" s="9"/>
      <c r="AA9" s="9"/>
    </row>
    <row r="10" ht="22.5" customHeight="1">
      <c r="A10" s="14"/>
      <c r="B10" s="15" t="s">
        <v>48</v>
      </c>
      <c r="C10" s="14" t="s">
        <v>49</v>
      </c>
      <c r="D10" s="16">
        <v>2.0</v>
      </c>
      <c r="E10" s="16">
        <v>3.0</v>
      </c>
      <c r="F10" s="16">
        <v>2.0</v>
      </c>
      <c r="G10" s="17">
        <f t="shared" si="2"/>
        <v>24</v>
      </c>
      <c r="H10" s="14" t="s">
        <v>21</v>
      </c>
      <c r="I10" s="7">
        <v>46308.0</v>
      </c>
      <c r="J10" s="14" t="s">
        <v>50</v>
      </c>
      <c r="K10" s="14" t="s">
        <v>39</v>
      </c>
      <c r="L10" s="18" t="s">
        <v>18</v>
      </c>
      <c r="M10" s="19"/>
      <c r="N10" s="19"/>
      <c r="O10" s="19"/>
      <c r="P10" s="19"/>
      <c r="Q10" s="19"/>
      <c r="R10" s="19"/>
      <c r="S10" s="19"/>
      <c r="T10" s="19"/>
      <c r="U10" s="19"/>
      <c r="V10" s="19"/>
      <c r="W10" s="19"/>
      <c r="X10" s="19"/>
      <c r="Y10" s="19"/>
      <c r="Z10" s="19"/>
      <c r="AA10" s="19"/>
    </row>
    <row r="11" ht="22.5" customHeight="1">
      <c r="A11" s="4" t="s">
        <v>51</v>
      </c>
      <c r="B11" s="5" t="s">
        <v>52</v>
      </c>
      <c r="C11" s="4" t="s">
        <v>53</v>
      </c>
      <c r="D11" s="6">
        <v>1.0</v>
      </c>
      <c r="E11" s="6">
        <v>5.0</v>
      </c>
      <c r="F11" s="6">
        <v>3.0</v>
      </c>
      <c r="G11" s="11">
        <f t="shared" si="2"/>
        <v>15</v>
      </c>
      <c r="H11" s="4" t="s">
        <v>54</v>
      </c>
      <c r="I11" s="7">
        <v>46308.0</v>
      </c>
      <c r="J11" s="4" t="s">
        <v>55</v>
      </c>
      <c r="K11" s="4" t="s">
        <v>56</v>
      </c>
      <c r="L11" s="8" t="s">
        <v>18</v>
      </c>
      <c r="M11" s="9"/>
      <c r="N11" s="9"/>
      <c r="O11" s="9"/>
      <c r="P11" s="9"/>
      <c r="Q11" s="9"/>
      <c r="R11" s="9"/>
      <c r="S11" s="9"/>
      <c r="T11" s="9"/>
      <c r="U11" s="9"/>
      <c r="V11" s="9"/>
      <c r="W11" s="9"/>
      <c r="X11" s="9"/>
      <c r="Y11" s="9"/>
      <c r="Z11" s="9"/>
      <c r="AA11" s="9"/>
    </row>
    <row r="12" ht="22.5" customHeight="1">
      <c r="A12" s="10"/>
      <c r="B12" s="5" t="s">
        <v>57</v>
      </c>
      <c r="C12" s="4" t="s">
        <v>58</v>
      </c>
      <c r="D12" s="6">
        <v>3.0</v>
      </c>
      <c r="E12" s="6">
        <v>3.0</v>
      </c>
      <c r="F12" s="6">
        <v>3.0</v>
      </c>
      <c r="G12" s="11">
        <f t="shared" si="2"/>
        <v>27</v>
      </c>
      <c r="H12" s="4" t="s">
        <v>26</v>
      </c>
      <c r="I12" s="7">
        <v>46308.0</v>
      </c>
      <c r="J12" s="4" t="s">
        <v>59</v>
      </c>
      <c r="K12" s="4" t="s">
        <v>60</v>
      </c>
      <c r="L12" s="8" t="s">
        <v>18</v>
      </c>
      <c r="M12" s="9"/>
      <c r="N12" s="9"/>
      <c r="O12" s="9"/>
      <c r="P12" s="9"/>
      <c r="Q12" s="9"/>
      <c r="R12" s="9"/>
      <c r="S12" s="9"/>
      <c r="T12" s="9"/>
      <c r="U12" s="9"/>
      <c r="V12" s="9"/>
      <c r="W12" s="9"/>
      <c r="X12" s="9"/>
      <c r="Y12" s="9"/>
      <c r="Z12" s="9"/>
      <c r="AA12" s="9"/>
    </row>
    <row r="13" ht="22.5" customHeight="1">
      <c r="A13" s="10"/>
      <c r="B13" s="5" t="s">
        <v>61</v>
      </c>
      <c r="C13" s="4" t="s">
        <v>62</v>
      </c>
      <c r="D13" s="6">
        <v>4.0</v>
      </c>
      <c r="E13" s="6">
        <v>5.0</v>
      </c>
      <c r="F13" s="6">
        <v>5.0</v>
      </c>
      <c r="G13" s="11">
        <f t="shared" si="2"/>
        <v>10</v>
      </c>
      <c r="H13" s="4" t="s">
        <v>63</v>
      </c>
      <c r="I13" s="7">
        <v>46308.0</v>
      </c>
      <c r="J13" s="4" t="s">
        <v>64</v>
      </c>
      <c r="K13" s="4" t="s">
        <v>65</v>
      </c>
      <c r="L13" s="8" t="s">
        <v>18</v>
      </c>
      <c r="M13" s="9"/>
      <c r="N13" s="9"/>
      <c r="O13" s="9"/>
      <c r="P13" s="9"/>
      <c r="Q13" s="9"/>
      <c r="R13" s="9"/>
      <c r="S13" s="9"/>
      <c r="T13" s="9"/>
      <c r="U13" s="9"/>
      <c r="V13" s="9"/>
      <c r="W13" s="9"/>
      <c r="X13" s="9"/>
      <c r="Y13" s="9"/>
      <c r="Z13" s="9"/>
      <c r="AA13" s="9"/>
    </row>
    <row r="14" ht="22.5" customHeight="1">
      <c r="A14" s="4" t="s">
        <v>66</v>
      </c>
      <c r="B14" s="5" t="s">
        <v>67</v>
      </c>
      <c r="C14" s="4" t="s">
        <v>68</v>
      </c>
      <c r="D14" s="6">
        <v>2.0</v>
      </c>
      <c r="E14" s="6">
        <v>4.0</v>
      </c>
      <c r="F14" s="6">
        <v>5.0</v>
      </c>
      <c r="G14" s="11">
        <f t="shared" si="2"/>
        <v>40</v>
      </c>
      <c r="H14" s="4" t="s">
        <v>26</v>
      </c>
      <c r="I14" s="7">
        <v>46308.0</v>
      </c>
      <c r="J14" s="4" t="s">
        <v>69</v>
      </c>
      <c r="K14" s="4" t="s">
        <v>39</v>
      </c>
      <c r="L14" s="8" t="s">
        <v>18</v>
      </c>
      <c r="M14" s="9"/>
      <c r="N14" s="9"/>
      <c r="O14" s="9"/>
      <c r="P14" s="9"/>
      <c r="Q14" s="9"/>
      <c r="R14" s="9"/>
      <c r="S14" s="9"/>
      <c r="T14" s="9"/>
      <c r="U14" s="9"/>
      <c r="V14" s="9"/>
      <c r="W14" s="9"/>
      <c r="X14" s="9"/>
      <c r="Y14" s="9"/>
      <c r="Z14" s="9"/>
      <c r="AA14" s="9"/>
    </row>
    <row r="15" ht="22.5" customHeight="1">
      <c r="A15" s="10"/>
      <c r="B15" s="5" t="s">
        <v>70</v>
      </c>
      <c r="C15" s="4" t="s">
        <v>71</v>
      </c>
      <c r="D15" s="6">
        <v>5.0</v>
      </c>
      <c r="E15" s="6">
        <v>4.0</v>
      </c>
      <c r="F15" s="6">
        <v>4.0</v>
      </c>
      <c r="G15" s="11">
        <f t="shared" si="2"/>
        <v>8</v>
      </c>
      <c r="H15" s="4" t="s">
        <v>26</v>
      </c>
      <c r="I15" s="7">
        <v>46308.0</v>
      </c>
      <c r="J15" s="4" t="s">
        <v>72</v>
      </c>
      <c r="K15" s="4" t="s">
        <v>73</v>
      </c>
      <c r="L15" s="8" t="s">
        <v>18</v>
      </c>
      <c r="M15" s="9"/>
      <c r="N15" s="9"/>
      <c r="O15" s="9"/>
      <c r="P15" s="9"/>
      <c r="Q15" s="9"/>
      <c r="R15" s="9"/>
      <c r="S15" s="9"/>
      <c r="T15" s="9"/>
      <c r="U15" s="9"/>
      <c r="V15" s="9"/>
      <c r="W15" s="9"/>
      <c r="X15" s="9"/>
      <c r="Y15" s="9"/>
      <c r="Z15" s="9"/>
      <c r="AA15" s="9"/>
    </row>
    <row r="16" ht="22.5" customHeight="1">
      <c r="A16" s="10"/>
      <c r="B16" s="12" t="s">
        <v>74</v>
      </c>
      <c r="C16" s="4" t="s">
        <v>75</v>
      </c>
      <c r="D16" s="6">
        <v>1.0</v>
      </c>
      <c r="E16" s="6">
        <v>3.0</v>
      </c>
      <c r="F16" s="6">
        <v>3.0</v>
      </c>
      <c r="G16" s="11">
        <f t="shared" si="2"/>
        <v>45</v>
      </c>
      <c r="H16" s="4" t="s">
        <v>26</v>
      </c>
      <c r="I16" s="7">
        <v>46308.0</v>
      </c>
      <c r="J16" s="4" t="s">
        <v>76</v>
      </c>
      <c r="K16" s="4" t="s">
        <v>39</v>
      </c>
      <c r="L16" s="8" t="s">
        <v>18</v>
      </c>
      <c r="M16" s="9"/>
      <c r="N16" s="9"/>
      <c r="O16" s="9"/>
      <c r="P16" s="9"/>
      <c r="Q16" s="9"/>
      <c r="R16" s="9"/>
      <c r="S16" s="9"/>
      <c r="T16" s="9"/>
      <c r="U16" s="9"/>
      <c r="V16" s="9"/>
      <c r="W16" s="9"/>
      <c r="X16" s="9"/>
      <c r="Y16" s="9"/>
      <c r="Z16" s="9"/>
      <c r="AA16" s="9"/>
    </row>
    <row r="17" ht="22.5" customHeight="1">
      <c r="A17" s="4" t="s">
        <v>77</v>
      </c>
      <c r="B17" s="5" t="s">
        <v>78</v>
      </c>
      <c r="C17" s="4" t="s">
        <v>79</v>
      </c>
      <c r="D17" s="6">
        <v>3.0</v>
      </c>
      <c r="E17" s="6">
        <v>2.0</v>
      </c>
      <c r="F17" s="6">
        <v>1.0</v>
      </c>
      <c r="G17" s="11">
        <f t="shared" si="2"/>
        <v>12</v>
      </c>
      <c r="H17" s="4" t="s">
        <v>21</v>
      </c>
      <c r="I17" s="7">
        <v>46308.0</v>
      </c>
      <c r="J17" s="4" t="s">
        <v>80</v>
      </c>
      <c r="K17" s="4" t="s">
        <v>81</v>
      </c>
      <c r="L17" s="8" t="s">
        <v>18</v>
      </c>
      <c r="M17" s="9"/>
      <c r="N17" s="9"/>
      <c r="O17" s="9"/>
      <c r="P17" s="9"/>
      <c r="Q17" s="9"/>
      <c r="R17" s="9"/>
      <c r="S17" s="9"/>
      <c r="T17" s="9"/>
      <c r="U17" s="9"/>
      <c r="V17" s="9"/>
      <c r="W17" s="9"/>
      <c r="X17" s="9"/>
      <c r="Y17" s="9"/>
      <c r="Z17" s="9"/>
      <c r="AA17" s="9"/>
    </row>
    <row r="18" ht="22.5" customHeight="1">
      <c r="A18" s="10"/>
      <c r="B18" s="5" t="s">
        <v>82</v>
      </c>
      <c r="C18" s="4" t="s">
        <v>83</v>
      </c>
      <c r="D18" s="6">
        <v>3.0</v>
      </c>
      <c r="E18" s="6">
        <v>2.0</v>
      </c>
      <c r="F18" s="6">
        <v>1.0</v>
      </c>
      <c r="G18" s="11">
        <f t="shared" si="2"/>
        <v>12</v>
      </c>
      <c r="H18" s="4" t="s">
        <v>21</v>
      </c>
      <c r="I18" s="7">
        <v>46308.0</v>
      </c>
      <c r="J18" s="4" t="s">
        <v>84</v>
      </c>
      <c r="K18" s="4" t="s">
        <v>81</v>
      </c>
      <c r="L18" s="8" t="s">
        <v>18</v>
      </c>
      <c r="M18" s="9"/>
      <c r="N18" s="9"/>
      <c r="O18" s="9"/>
      <c r="P18" s="9"/>
      <c r="Q18" s="9"/>
      <c r="R18" s="9"/>
      <c r="S18" s="9"/>
      <c r="T18" s="9"/>
      <c r="U18" s="9"/>
      <c r="V18" s="9"/>
      <c r="W18" s="9"/>
      <c r="X18" s="9"/>
      <c r="Y18" s="9"/>
      <c r="Z18" s="9"/>
      <c r="AA18" s="9"/>
    </row>
    <row r="19" ht="22.5" customHeight="1">
      <c r="A19" s="10"/>
      <c r="B19" s="5" t="s">
        <v>85</v>
      </c>
      <c r="C19" s="4" t="s">
        <v>86</v>
      </c>
      <c r="D19" s="6">
        <v>3.0</v>
      </c>
      <c r="E19" s="6">
        <v>2.0</v>
      </c>
      <c r="F19" s="6">
        <v>1.0</v>
      </c>
      <c r="G19" s="11">
        <f t="shared" si="2"/>
        <v>12</v>
      </c>
      <c r="H19" s="4" t="s">
        <v>21</v>
      </c>
      <c r="I19" s="7">
        <v>46308.0</v>
      </c>
      <c r="J19" s="4" t="s">
        <v>87</v>
      </c>
      <c r="K19" s="4" t="s">
        <v>88</v>
      </c>
      <c r="L19" s="8" t="s">
        <v>18</v>
      </c>
      <c r="M19" s="9"/>
      <c r="N19" s="9"/>
      <c r="O19" s="9"/>
      <c r="P19" s="9"/>
      <c r="Q19" s="9"/>
      <c r="R19" s="9"/>
      <c r="S19" s="9"/>
      <c r="T19" s="9"/>
      <c r="U19" s="9"/>
      <c r="V19" s="9"/>
      <c r="W19" s="9"/>
      <c r="X19" s="9"/>
      <c r="Y19" s="9"/>
      <c r="Z19" s="9"/>
      <c r="AA19" s="9"/>
    </row>
    <row r="20" ht="22.5" customHeight="1">
      <c r="A20" s="10"/>
      <c r="B20" s="5" t="s">
        <v>89</v>
      </c>
      <c r="C20" s="4" t="s">
        <v>90</v>
      </c>
      <c r="D20" s="6">
        <v>3.0</v>
      </c>
      <c r="E20" s="6">
        <v>2.0</v>
      </c>
      <c r="F20" s="6">
        <v>1.0</v>
      </c>
      <c r="G20" s="11">
        <f t="shared" si="2"/>
        <v>12</v>
      </c>
      <c r="H20" s="4" t="s">
        <v>21</v>
      </c>
      <c r="I20" s="7">
        <v>46308.0</v>
      </c>
      <c r="J20" s="4" t="s">
        <v>91</v>
      </c>
      <c r="K20" s="4" t="s">
        <v>81</v>
      </c>
      <c r="L20" s="8" t="s">
        <v>18</v>
      </c>
      <c r="M20" s="9"/>
      <c r="N20" s="9"/>
      <c r="O20" s="9"/>
      <c r="P20" s="9"/>
      <c r="Q20" s="9"/>
      <c r="R20" s="9"/>
      <c r="S20" s="9"/>
      <c r="T20" s="9"/>
      <c r="U20" s="9"/>
      <c r="V20" s="9"/>
      <c r="W20" s="9"/>
      <c r="X20" s="9"/>
      <c r="Y20" s="9"/>
      <c r="Z20" s="9"/>
      <c r="AA20" s="9"/>
    </row>
    <row r="21" ht="22.5" customHeight="1">
      <c r="A21" s="10"/>
      <c r="B21" s="5" t="s">
        <v>92</v>
      </c>
      <c r="C21" s="4" t="s">
        <v>93</v>
      </c>
      <c r="D21" s="6">
        <v>3.0</v>
      </c>
      <c r="E21" s="6">
        <v>2.0</v>
      </c>
      <c r="F21" s="6">
        <v>1.0</v>
      </c>
      <c r="G21" s="11">
        <f t="shared" si="2"/>
        <v>12</v>
      </c>
      <c r="H21" s="4" t="s">
        <v>21</v>
      </c>
      <c r="I21" s="7">
        <v>46308.0</v>
      </c>
      <c r="J21" s="4" t="s">
        <v>94</v>
      </c>
      <c r="K21" s="4" t="s">
        <v>39</v>
      </c>
      <c r="L21" s="8" t="s">
        <v>18</v>
      </c>
      <c r="M21" s="9"/>
      <c r="N21" s="9"/>
      <c r="O21" s="9"/>
      <c r="P21" s="9"/>
      <c r="Q21" s="9"/>
      <c r="R21" s="9"/>
      <c r="S21" s="9"/>
      <c r="T21" s="9"/>
      <c r="U21" s="9"/>
      <c r="V21" s="9"/>
      <c r="W21" s="9"/>
      <c r="X21" s="9"/>
      <c r="Y21" s="9"/>
      <c r="Z21" s="9"/>
      <c r="AA21" s="9"/>
    </row>
    <row r="22" ht="22.5" customHeight="1">
      <c r="A22" s="4" t="s">
        <v>95</v>
      </c>
      <c r="B22" s="5" t="s">
        <v>96</v>
      </c>
      <c r="C22" s="4" t="s">
        <v>97</v>
      </c>
      <c r="D22" s="6">
        <v>3.0</v>
      </c>
      <c r="E22" s="6">
        <v>5.0</v>
      </c>
      <c r="F22" s="6">
        <v>4.0</v>
      </c>
      <c r="G22" s="11">
        <f t="shared" si="2"/>
        <v>12</v>
      </c>
      <c r="H22" s="4" t="s">
        <v>98</v>
      </c>
      <c r="I22" s="7">
        <v>46308.0</v>
      </c>
      <c r="J22" s="4" t="s">
        <v>99</v>
      </c>
      <c r="K22" s="4" t="s">
        <v>100</v>
      </c>
      <c r="L22" s="8" t="s">
        <v>18</v>
      </c>
      <c r="M22" s="9"/>
      <c r="N22" s="9"/>
      <c r="O22" s="9"/>
      <c r="P22" s="9"/>
      <c r="Q22" s="9"/>
      <c r="R22" s="9"/>
      <c r="S22" s="9"/>
      <c r="T22" s="9"/>
      <c r="U22" s="9"/>
      <c r="V22" s="9"/>
      <c r="W22" s="9"/>
      <c r="X22" s="9"/>
      <c r="Y22" s="9"/>
      <c r="Z22" s="9"/>
      <c r="AA22" s="9"/>
    </row>
    <row r="23" ht="22.5" customHeight="1">
      <c r="A23" s="4"/>
      <c r="B23" s="5" t="s">
        <v>101</v>
      </c>
      <c r="C23" s="4" t="s">
        <v>102</v>
      </c>
      <c r="D23" s="6">
        <v>2.0</v>
      </c>
      <c r="E23" s="6">
        <v>3.0</v>
      </c>
      <c r="F23" s="6">
        <v>3.0</v>
      </c>
      <c r="G23" s="11">
        <f t="shared" si="2"/>
        <v>36</v>
      </c>
      <c r="H23" s="4" t="s">
        <v>98</v>
      </c>
      <c r="I23" s="7">
        <v>46308.0</v>
      </c>
      <c r="J23" s="4" t="s">
        <v>103</v>
      </c>
      <c r="K23" s="4" t="s">
        <v>104</v>
      </c>
      <c r="L23" s="8" t="s">
        <v>18</v>
      </c>
      <c r="M23" s="9"/>
      <c r="N23" s="9"/>
      <c r="O23" s="9"/>
      <c r="P23" s="9"/>
      <c r="Q23" s="9"/>
      <c r="R23" s="9"/>
      <c r="S23" s="9"/>
      <c r="T23" s="9"/>
      <c r="U23" s="9"/>
      <c r="V23" s="9"/>
      <c r="W23" s="9"/>
      <c r="X23" s="9"/>
      <c r="Y23" s="9"/>
      <c r="Z23" s="9"/>
      <c r="AA23" s="9"/>
    </row>
    <row r="24" ht="22.5" customHeight="1">
      <c r="A24" s="4"/>
      <c r="B24" s="5" t="s">
        <v>105</v>
      </c>
      <c r="C24" s="4" t="s">
        <v>106</v>
      </c>
      <c r="D24" s="6">
        <v>3.0</v>
      </c>
      <c r="E24" s="6">
        <v>2.0</v>
      </c>
      <c r="F24" s="6">
        <v>2.0</v>
      </c>
      <c r="G24" s="11">
        <f t="shared" si="2"/>
        <v>24</v>
      </c>
      <c r="H24" s="4" t="s">
        <v>21</v>
      </c>
      <c r="I24" s="7">
        <v>46308.0</v>
      </c>
      <c r="J24" s="4" t="s">
        <v>107</v>
      </c>
      <c r="K24" s="4" t="s">
        <v>108</v>
      </c>
      <c r="L24" s="8" t="s">
        <v>18</v>
      </c>
      <c r="M24" s="9"/>
      <c r="N24" s="9"/>
      <c r="O24" s="9"/>
      <c r="P24" s="9"/>
      <c r="Q24" s="9"/>
      <c r="R24" s="9"/>
      <c r="S24" s="9"/>
      <c r="T24" s="9"/>
      <c r="U24" s="9"/>
      <c r="V24" s="9"/>
      <c r="W24" s="9"/>
      <c r="X24" s="9"/>
      <c r="Y24" s="9"/>
      <c r="Z24" s="9"/>
      <c r="AA24" s="9"/>
    </row>
    <row r="25" ht="22.5" customHeight="1">
      <c r="A25" s="4" t="s">
        <v>109</v>
      </c>
      <c r="B25" s="5" t="s">
        <v>110</v>
      </c>
      <c r="C25" s="4" t="s">
        <v>111</v>
      </c>
      <c r="D25" s="6">
        <v>3.0</v>
      </c>
      <c r="E25" s="6">
        <v>3.0</v>
      </c>
      <c r="F25" s="6">
        <v>3.0</v>
      </c>
      <c r="G25" s="11">
        <f t="shared" si="2"/>
        <v>27</v>
      </c>
      <c r="H25" s="4" t="s">
        <v>112</v>
      </c>
      <c r="I25" s="7">
        <v>46308.0</v>
      </c>
      <c r="J25" s="4" t="s">
        <v>113</v>
      </c>
      <c r="K25" s="4" t="s">
        <v>114</v>
      </c>
      <c r="L25" s="8" t="s">
        <v>18</v>
      </c>
      <c r="M25" s="9"/>
      <c r="N25" s="9"/>
      <c r="O25" s="9"/>
      <c r="P25" s="9"/>
      <c r="Q25" s="9"/>
      <c r="R25" s="9"/>
      <c r="S25" s="9"/>
      <c r="T25" s="9"/>
      <c r="U25" s="9"/>
      <c r="V25" s="9"/>
      <c r="W25" s="9"/>
      <c r="X25" s="9"/>
      <c r="Y25" s="9"/>
      <c r="Z25" s="9"/>
      <c r="AA25" s="9"/>
    </row>
    <row r="26" ht="22.5" customHeight="1">
      <c r="A26" s="4" t="s">
        <v>115</v>
      </c>
      <c r="B26" s="20" t="s">
        <v>116</v>
      </c>
      <c r="C26" s="4" t="s">
        <v>117</v>
      </c>
      <c r="D26" s="6">
        <v>5.0</v>
      </c>
      <c r="E26" s="6">
        <v>4.0</v>
      </c>
      <c r="F26" s="6">
        <v>3.0</v>
      </c>
      <c r="G26" s="11">
        <f t="shared" si="2"/>
        <v>6</v>
      </c>
      <c r="H26" s="4" t="s">
        <v>118</v>
      </c>
      <c r="I26" s="7">
        <v>46308.0</v>
      </c>
      <c r="J26" s="4" t="s">
        <v>119</v>
      </c>
      <c r="K26" s="4" t="s">
        <v>120</v>
      </c>
      <c r="L26" s="8" t="s">
        <v>18</v>
      </c>
      <c r="M26" s="9"/>
      <c r="N26" s="9"/>
      <c r="O26" s="9"/>
      <c r="P26" s="9"/>
      <c r="Q26" s="9"/>
      <c r="R26" s="9"/>
      <c r="S26" s="9"/>
      <c r="T26" s="9"/>
      <c r="U26" s="9"/>
      <c r="V26" s="9"/>
      <c r="W26" s="9"/>
      <c r="X26" s="9"/>
      <c r="Y26" s="9"/>
      <c r="Z26" s="9"/>
      <c r="AA26" s="9"/>
    </row>
    <row r="27" ht="22.5" customHeight="1">
      <c r="A27" s="4" t="s">
        <v>121</v>
      </c>
      <c r="B27" s="20" t="s">
        <v>122</v>
      </c>
      <c r="C27" s="4" t="s">
        <v>123</v>
      </c>
      <c r="D27" s="6">
        <v>5.0</v>
      </c>
      <c r="E27" s="6">
        <v>5.0</v>
      </c>
      <c r="F27" s="6">
        <v>3.0</v>
      </c>
      <c r="G27" s="11">
        <f t="shared" si="2"/>
        <v>3</v>
      </c>
      <c r="H27" s="4" t="s">
        <v>124</v>
      </c>
      <c r="I27" s="7">
        <v>46308.0</v>
      </c>
      <c r="J27" s="5" t="s">
        <v>125</v>
      </c>
      <c r="K27" s="4" t="s">
        <v>126</v>
      </c>
      <c r="L27" s="8" t="s">
        <v>18</v>
      </c>
      <c r="M27" s="9"/>
      <c r="N27" s="9"/>
      <c r="O27" s="9"/>
      <c r="P27" s="9"/>
      <c r="Q27" s="9"/>
      <c r="R27" s="9"/>
      <c r="S27" s="9"/>
      <c r="T27" s="9"/>
      <c r="U27" s="9"/>
      <c r="V27" s="9"/>
      <c r="W27" s="9"/>
      <c r="X27" s="9"/>
      <c r="Y27" s="9"/>
      <c r="Z27" s="9"/>
      <c r="AA27" s="9"/>
    </row>
    <row r="28">
      <c r="A28" s="21"/>
      <c r="C28" s="9"/>
      <c r="D28" s="22"/>
      <c r="E28" s="23"/>
      <c r="F28" s="23"/>
      <c r="G28" s="23"/>
      <c r="H28" s="9"/>
      <c r="I28" s="24"/>
      <c r="J28" s="25"/>
      <c r="K28" s="9"/>
      <c r="L28" s="9"/>
      <c r="M28" s="9"/>
      <c r="N28" s="9"/>
      <c r="O28" s="9"/>
      <c r="P28" s="9"/>
      <c r="Q28" s="9"/>
      <c r="R28" s="9"/>
      <c r="S28" s="9"/>
      <c r="T28" s="9"/>
      <c r="U28" s="9"/>
      <c r="V28" s="9"/>
      <c r="W28" s="9"/>
      <c r="X28" s="9"/>
      <c r="Y28" s="9"/>
      <c r="Z28" s="9"/>
      <c r="AA28" s="9"/>
    </row>
    <row r="29">
      <c r="A29" s="21"/>
      <c r="C29" s="9"/>
      <c r="D29" s="23"/>
      <c r="E29" s="23"/>
      <c r="F29" s="23"/>
      <c r="G29" s="23"/>
      <c r="H29" s="9"/>
      <c r="I29" s="24"/>
      <c r="J29" s="9"/>
      <c r="K29" s="9"/>
      <c r="L29" s="9"/>
      <c r="M29" s="9"/>
      <c r="N29" s="9"/>
      <c r="O29" s="9"/>
      <c r="P29" s="9"/>
      <c r="Q29" s="9"/>
      <c r="R29" s="9"/>
      <c r="S29" s="9"/>
      <c r="T29" s="9"/>
      <c r="U29" s="9"/>
      <c r="V29" s="9"/>
      <c r="W29" s="9"/>
      <c r="X29" s="9"/>
      <c r="Y29" s="9"/>
      <c r="Z29" s="9"/>
      <c r="AA29" s="9"/>
    </row>
    <row r="30">
      <c r="A30" s="9"/>
      <c r="C30" s="9"/>
      <c r="D30" s="23"/>
      <c r="E30" s="23"/>
      <c r="F30" s="23"/>
      <c r="G30" s="23"/>
      <c r="H30" s="9"/>
      <c r="I30" s="24"/>
      <c r="J30" s="25"/>
      <c r="K30" s="9"/>
      <c r="L30" s="9"/>
      <c r="M30" s="9"/>
      <c r="N30" s="9"/>
      <c r="O30" s="9"/>
      <c r="P30" s="9"/>
      <c r="Q30" s="9"/>
      <c r="R30" s="9"/>
      <c r="S30" s="9"/>
      <c r="T30" s="9"/>
      <c r="U30" s="9"/>
      <c r="V30" s="9"/>
      <c r="W30" s="9"/>
      <c r="X30" s="9"/>
      <c r="Y30" s="9"/>
      <c r="Z30" s="9"/>
      <c r="AA30" s="9"/>
    </row>
    <row r="31">
      <c r="A31" s="9"/>
      <c r="C31" s="9"/>
      <c r="D31" s="23"/>
      <c r="E31" s="23"/>
      <c r="F31" s="23"/>
      <c r="G31" s="23"/>
      <c r="H31" s="9"/>
      <c r="I31" s="24"/>
      <c r="J31" s="25"/>
      <c r="K31" s="9"/>
      <c r="L31" s="9"/>
      <c r="M31" s="9"/>
      <c r="N31" s="9"/>
      <c r="O31" s="9"/>
      <c r="P31" s="9"/>
      <c r="Q31" s="9"/>
      <c r="R31" s="9"/>
      <c r="S31" s="9"/>
      <c r="T31" s="9"/>
      <c r="U31" s="9"/>
      <c r="V31" s="9"/>
      <c r="W31" s="9"/>
      <c r="X31" s="9"/>
      <c r="Y31" s="9"/>
      <c r="Z31" s="9"/>
      <c r="AA31" s="9"/>
    </row>
    <row r="32">
      <c r="A32" s="9"/>
      <c r="C32" s="9"/>
      <c r="D32" s="23"/>
      <c r="E32" s="23"/>
      <c r="F32" s="23"/>
      <c r="G32" s="23"/>
      <c r="H32" s="9"/>
      <c r="I32" s="24"/>
      <c r="J32" s="25"/>
      <c r="K32" s="9"/>
      <c r="L32" s="9"/>
      <c r="M32" s="9"/>
      <c r="N32" s="9"/>
      <c r="O32" s="9"/>
      <c r="P32" s="9"/>
      <c r="Q32" s="9"/>
      <c r="R32" s="9"/>
      <c r="S32" s="9"/>
      <c r="T32" s="9"/>
      <c r="U32" s="9"/>
      <c r="V32" s="9"/>
      <c r="W32" s="9"/>
      <c r="X32" s="9"/>
      <c r="Y32" s="9"/>
      <c r="Z32" s="9"/>
      <c r="AA32" s="9"/>
    </row>
    <row r="33">
      <c r="A33" s="9"/>
      <c r="C33" s="9"/>
      <c r="D33" s="23"/>
      <c r="E33" s="23"/>
      <c r="F33" s="23"/>
      <c r="G33" s="23"/>
      <c r="H33" s="9"/>
      <c r="I33" s="24"/>
      <c r="J33" s="25"/>
      <c r="K33" s="9"/>
      <c r="L33" s="9"/>
      <c r="M33" s="9"/>
      <c r="N33" s="9"/>
      <c r="O33" s="9"/>
      <c r="P33" s="9"/>
      <c r="Q33" s="9"/>
      <c r="R33" s="9"/>
      <c r="S33" s="9"/>
      <c r="T33" s="9"/>
      <c r="U33" s="9"/>
      <c r="V33" s="9"/>
      <c r="W33" s="9"/>
      <c r="X33" s="9"/>
      <c r="Y33" s="9"/>
      <c r="Z33" s="9"/>
      <c r="AA33" s="9"/>
    </row>
    <row r="34">
      <c r="A34" s="9"/>
      <c r="C34" s="9"/>
      <c r="D34" s="23"/>
      <c r="E34" s="23"/>
      <c r="F34" s="23"/>
      <c r="G34" s="23"/>
      <c r="H34" s="9"/>
      <c r="I34" s="24"/>
      <c r="J34" s="25"/>
      <c r="K34" s="9"/>
      <c r="L34" s="9"/>
      <c r="M34" s="9"/>
      <c r="N34" s="9"/>
      <c r="O34" s="9"/>
      <c r="P34" s="9"/>
      <c r="Q34" s="9"/>
      <c r="R34" s="9"/>
      <c r="S34" s="9"/>
      <c r="T34" s="9"/>
      <c r="U34" s="9"/>
      <c r="V34" s="9"/>
      <c r="W34" s="9"/>
      <c r="X34" s="9"/>
      <c r="Y34" s="9"/>
      <c r="Z34" s="9"/>
      <c r="AA34" s="9"/>
    </row>
    <row r="35">
      <c r="A35" s="9"/>
      <c r="B35" s="9"/>
      <c r="C35" s="9"/>
      <c r="D35" s="9"/>
      <c r="E35" s="9"/>
      <c r="F35" s="9"/>
      <c r="G35" s="9"/>
      <c r="H35" s="9"/>
      <c r="I35" s="9"/>
      <c r="J35" s="9"/>
      <c r="K35" s="9"/>
      <c r="L35" s="9"/>
      <c r="M35" s="9"/>
      <c r="N35" s="9"/>
      <c r="O35" s="9"/>
      <c r="P35" s="9"/>
      <c r="Q35" s="9"/>
      <c r="R35" s="9"/>
      <c r="S35" s="9"/>
      <c r="T35" s="9"/>
      <c r="U35" s="9"/>
      <c r="V35" s="9"/>
      <c r="W35" s="9"/>
      <c r="X35" s="9"/>
      <c r="Y35" s="9"/>
      <c r="Z35" s="9"/>
      <c r="AA35" s="9"/>
    </row>
    <row r="36">
      <c r="A36" s="26"/>
      <c r="B36" s="26"/>
      <c r="C36" s="26"/>
      <c r="D36" s="23"/>
      <c r="E36" s="23"/>
      <c r="F36" s="23"/>
      <c r="G36" s="9"/>
      <c r="H36" s="9"/>
      <c r="I36" s="9"/>
      <c r="J36" s="26"/>
      <c r="K36" s="9"/>
      <c r="L36" s="9"/>
      <c r="M36" s="9"/>
      <c r="N36" s="9"/>
      <c r="O36" s="9"/>
      <c r="P36" s="9"/>
      <c r="Q36" s="9"/>
      <c r="R36" s="9"/>
      <c r="S36" s="9"/>
      <c r="T36" s="9"/>
      <c r="U36" s="9"/>
      <c r="V36" s="9"/>
      <c r="W36" s="9"/>
      <c r="X36" s="9"/>
      <c r="Y36" s="9"/>
      <c r="Z36" s="9"/>
      <c r="AA36" s="9"/>
    </row>
    <row r="37">
      <c r="A37" s="26"/>
      <c r="B37" s="26"/>
      <c r="C37" s="26"/>
      <c r="D37" s="23"/>
      <c r="E37" s="23"/>
      <c r="F37" s="23"/>
      <c r="G37" s="9"/>
      <c r="H37" s="9"/>
      <c r="I37" s="9"/>
      <c r="J37" s="26"/>
      <c r="K37" s="9"/>
      <c r="L37" s="9"/>
      <c r="M37" s="9"/>
      <c r="N37" s="9"/>
      <c r="O37" s="9"/>
      <c r="P37" s="9"/>
      <c r="Q37" s="9"/>
      <c r="R37" s="9"/>
      <c r="S37" s="9"/>
      <c r="T37" s="9"/>
      <c r="U37" s="9"/>
      <c r="V37" s="9"/>
      <c r="W37" s="9"/>
      <c r="X37" s="9"/>
      <c r="Y37" s="9"/>
      <c r="Z37" s="9"/>
      <c r="AA37" s="9"/>
    </row>
    <row r="38">
      <c r="A38" s="26"/>
      <c r="B38" s="26"/>
      <c r="C38" s="26"/>
      <c r="D38" s="23"/>
      <c r="E38" s="23"/>
      <c r="F38" s="23"/>
      <c r="G38" s="9"/>
      <c r="H38" s="9"/>
      <c r="I38" s="9"/>
      <c r="J38" s="26"/>
      <c r="K38" s="9"/>
      <c r="L38" s="9"/>
      <c r="M38" s="9"/>
      <c r="N38" s="9"/>
      <c r="O38" s="9"/>
      <c r="P38" s="9"/>
      <c r="Q38" s="9"/>
      <c r="R38" s="9"/>
      <c r="S38" s="9"/>
      <c r="T38" s="9"/>
      <c r="U38" s="9"/>
      <c r="V38" s="9"/>
      <c r="W38" s="9"/>
      <c r="X38" s="9"/>
      <c r="Y38" s="9"/>
      <c r="Z38" s="9"/>
      <c r="AA38" s="9"/>
    </row>
    <row r="39">
      <c r="A39" s="26"/>
      <c r="B39" s="26"/>
      <c r="C39" s="26"/>
      <c r="D39" s="23"/>
      <c r="E39" s="23"/>
      <c r="F39" s="23"/>
      <c r="G39" s="9"/>
      <c r="H39" s="9"/>
      <c r="I39" s="9"/>
      <c r="J39" s="26"/>
      <c r="K39" s="9"/>
      <c r="L39" s="9"/>
      <c r="M39" s="9"/>
      <c r="N39" s="9"/>
      <c r="O39" s="9"/>
      <c r="P39" s="9"/>
      <c r="Q39" s="9"/>
      <c r="R39" s="9"/>
      <c r="S39" s="9"/>
      <c r="T39" s="9"/>
      <c r="U39" s="9"/>
      <c r="V39" s="9"/>
      <c r="W39" s="9"/>
      <c r="X39" s="9"/>
      <c r="Y39" s="9"/>
      <c r="Z39" s="9"/>
      <c r="AA39" s="9"/>
    </row>
    <row r="40">
      <c r="A40" s="26"/>
      <c r="B40" s="26"/>
      <c r="C40" s="26"/>
      <c r="D40" s="23"/>
      <c r="E40" s="9"/>
      <c r="F40" s="9"/>
      <c r="G40" s="9"/>
      <c r="H40" s="9"/>
      <c r="I40" s="9"/>
      <c r="J40" s="26"/>
      <c r="K40" s="9"/>
      <c r="L40" s="9"/>
      <c r="M40" s="9"/>
      <c r="N40" s="9"/>
      <c r="O40" s="9"/>
      <c r="P40" s="9"/>
      <c r="Q40" s="9"/>
      <c r="R40" s="9"/>
      <c r="S40" s="9"/>
      <c r="T40" s="9"/>
      <c r="U40" s="9"/>
      <c r="V40" s="9"/>
      <c r="W40" s="9"/>
      <c r="X40" s="9"/>
      <c r="Y40" s="9"/>
      <c r="Z40" s="9"/>
      <c r="AA40" s="9"/>
    </row>
    <row r="41">
      <c r="A41" s="9"/>
      <c r="B41" s="9"/>
      <c r="C41" s="9"/>
      <c r="D41" s="9"/>
      <c r="E41" s="9"/>
      <c r="F41" s="9"/>
      <c r="G41" s="9"/>
      <c r="H41" s="9"/>
      <c r="I41" s="9"/>
      <c r="J41" s="9"/>
      <c r="K41" s="9"/>
      <c r="L41" s="9"/>
      <c r="M41" s="9"/>
      <c r="N41" s="9"/>
      <c r="O41" s="9"/>
      <c r="P41" s="9"/>
      <c r="Q41" s="9"/>
      <c r="R41" s="9"/>
      <c r="S41" s="9"/>
      <c r="T41" s="9"/>
      <c r="U41" s="9"/>
      <c r="V41" s="9"/>
      <c r="W41" s="9"/>
      <c r="X41" s="9"/>
      <c r="Y41" s="9"/>
      <c r="Z41" s="9"/>
      <c r="AA41" s="9"/>
    </row>
    <row r="43">
      <c r="A43" s="9"/>
      <c r="B43" s="9"/>
      <c r="C43" s="26"/>
      <c r="D43" s="23"/>
      <c r="E43" s="23"/>
      <c r="F43" s="9"/>
      <c r="G43" s="23"/>
      <c r="H43" s="9"/>
      <c r="I43" s="9"/>
      <c r="J43" s="25"/>
      <c r="K43" s="9"/>
      <c r="L43" s="9"/>
      <c r="M43" s="9"/>
      <c r="N43" s="9"/>
      <c r="O43" s="9"/>
      <c r="P43" s="9"/>
      <c r="Q43" s="9"/>
      <c r="R43" s="9"/>
      <c r="S43" s="9"/>
      <c r="T43" s="9"/>
      <c r="U43" s="9"/>
      <c r="V43" s="9"/>
      <c r="W43" s="9"/>
      <c r="X43" s="9"/>
      <c r="Y43" s="9"/>
      <c r="Z43" s="9"/>
      <c r="AA43" s="9"/>
    </row>
    <row r="44">
      <c r="A44" s="9"/>
      <c r="B44" s="9"/>
      <c r="C44" s="26"/>
      <c r="D44" s="23"/>
      <c r="E44" s="23"/>
      <c r="F44" s="9"/>
      <c r="G44" s="23"/>
      <c r="H44" s="9"/>
      <c r="I44" s="9"/>
      <c r="J44" s="25"/>
      <c r="K44" s="9"/>
      <c r="L44" s="9"/>
      <c r="M44" s="9"/>
      <c r="N44" s="9"/>
      <c r="O44" s="9"/>
      <c r="P44" s="9"/>
      <c r="Q44" s="9"/>
      <c r="R44" s="9"/>
      <c r="S44" s="9"/>
      <c r="T44" s="9"/>
      <c r="U44" s="9"/>
      <c r="V44" s="9"/>
      <c r="W44" s="9"/>
      <c r="X44" s="9"/>
      <c r="Y44" s="9"/>
      <c r="Z44" s="9"/>
      <c r="AA44" s="9"/>
    </row>
    <row r="45">
      <c r="A45" s="9"/>
      <c r="B45" s="9"/>
      <c r="C45" s="26"/>
      <c r="D45" s="23"/>
      <c r="E45" s="23"/>
      <c r="F45" s="9"/>
      <c r="G45" s="23"/>
      <c r="H45" s="9"/>
      <c r="I45" s="9"/>
      <c r="J45" s="9"/>
      <c r="K45" s="9"/>
      <c r="L45" s="9"/>
      <c r="M45" s="9"/>
      <c r="N45" s="9"/>
      <c r="O45" s="9"/>
      <c r="P45" s="9"/>
      <c r="Q45" s="9"/>
      <c r="R45" s="9"/>
      <c r="S45" s="9"/>
      <c r="T45" s="9"/>
      <c r="U45" s="9"/>
      <c r="V45" s="9"/>
      <c r="W45" s="9"/>
      <c r="X45" s="9"/>
      <c r="Y45" s="9"/>
      <c r="Z45" s="9"/>
      <c r="AA45" s="9"/>
    </row>
    <row r="46">
      <c r="A46" s="9"/>
      <c r="B46" s="9"/>
      <c r="C46" s="26"/>
      <c r="D46" s="23"/>
      <c r="E46" s="23"/>
      <c r="F46" s="9"/>
      <c r="G46" s="23"/>
      <c r="H46" s="9"/>
      <c r="I46" s="9"/>
      <c r="J46" s="9"/>
      <c r="K46" s="9"/>
      <c r="L46" s="9"/>
      <c r="M46" s="9"/>
      <c r="N46" s="9"/>
      <c r="O46" s="9"/>
      <c r="P46" s="9"/>
      <c r="Q46" s="9"/>
      <c r="R46" s="9"/>
      <c r="S46" s="9"/>
      <c r="T46" s="9"/>
      <c r="U46" s="9"/>
      <c r="V46" s="9"/>
      <c r="W46" s="9"/>
      <c r="X46" s="9"/>
      <c r="Y46" s="9"/>
      <c r="Z46" s="9"/>
      <c r="AA46" s="9"/>
    </row>
  </sheetData>
  <dataValidations>
    <dataValidation type="list" allowBlank="1" showErrorMessage="1" sqref="L3:L27">
      <formula1>"Closed,Open"</formula1>
    </dataValidation>
    <dataValidation type="custom" allowBlank="1" showDropDown="1" sqref="I3:I27">
      <formula1>OR(NOT(ISERROR(DATEVALUE(I3))), AND(ISNUMBER(I3), LEFT(CELL("format", I3))="D"))</formula1>
    </dataValidation>
  </dataValidations>
  <drawing r:id="rId4"/>
  <legacyDrawing r:id="rId5"/>
  <tableParts count="1">
    <tablePart r:id="rId7"/>
  </tableParts>
</worksheet>
</file>