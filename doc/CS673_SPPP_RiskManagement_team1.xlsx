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tc={21668a43-a8e5-4d65-ac4a-9cca003fb778}</author>
  </authors>
  <commentList>
    <comment authorId="0" ref="A10">
      <text>
        <t xml:space="preserve">New risk register for iteration 1</t>
      </text>
    </comment>
    <comment authorId="1" xr:uid="{21668a43-a8e5-4d65-ac4a-9cca003fb778}" ref="F14">
      <text>
        <t xml:space="preserve">[Threaded comment]
 Your version of Excel allows you to read this threaded comment; however, any edits to it will get removed if the file is opened in a newer version of Excel. Learn more: https://go.microsoft.com/fwlink/?linkid=870924
Comment:
	It's costly because it can lead to team member dropping out.
</t>
      </text>
    </comment>
  </commentList>
</comments>
</file>

<file path=xl/sharedStrings.xml><?xml version="1.0" encoding="utf-8"?>
<sst xmlns="http://schemas.openxmlformats.org/spreadsheetml/2006/main" count="142" uniqueCount="107">
  <si>
    <t>This sheet provides some common risks in student projects. You should check if it applies to your group project. 
You should also feel free to add other risks. Exemplary analysis is also added.</t>
  </si>
  <si>
    <t>Risk Category</t>
  </si>
  <si>
    <t>Risk Title</t>
  </si>
  <si>
    <t>Description</t>
  </si>
  <si>
    <t>Estimated
 likelihood 
of occurrence
(L: 1-5 with 1 lowest likelihood)</t>
  </si>
  <si>
    <t>Estimated 
Impact
(I:1-5 with 1 lowest impact)</t>
  </si>
  <si>
    <t>Estimated 
retirement 
Cost (C: 1-5 with 1 lowest cost)</t>
  </si>
  <si>
    <t>Priority (lowest number has high priority) (6-L)*(6-I)*C)</t>
  </si>
  <si>
    <t>Responsible engineer</t>
  </si>
  <si>
    <t>Target completion date</t>
  </si>
  <si>
    <t>Detailed plan</t>
  </si>
  <si>
    <t>Execution summary</t>
  </si>
  <si>
    <t>Status</t>
  </si>
  <si>
    <t>Personel</t>
  </si>
  <si>
    <t>Loss team members</t>
  </si>
  <si>
    <t>One or more team members drop the class</t>
  </si>
  <si>
    <t>team leader and all members</t>
  </si>
  <si>
    <t>Redefine the project scope if necessary, and assign the tasks to other team members.</t>
  </si>
  <si>
    <t>So far there is one dropped the class and add new team member in the begining of the project</t>
  </si>
  <si>
    <t>Open</t>
  </si>
  <si>
    <t>add new team members</t>
  </si>
  <si>
    <t>One or more team members add in the middle of the project</t>
  </si>
  <si>
    <t>all members</t>
  </si>
  <si>
    <t>Immediate onboarding by sharing the necessary documentation, and transferring knowledge.</t>
  </si>
  <si>
    <t>Lack of motivation or responsibility</t>
  </si>
  <si>
    <t xml:space="preserve">A member does not complete assigned work or misses agreed deadlines </t>
  </si>
  <si>
    <t>team leader</t>
  </si>
  <si>
    <t>Team leader needs to break down the small tasks, assign an owner and due date, review progress during standing up meetings and communicate early when help is needed.</t>
  </si>
  <si>
    <t>Communication</t>
  </si>
  <si>
    <t>duplicate work</t>
  </si>
  <si>
    <t>Two team members unknowningly implement the same feature or changes.</t>
  </si>
  <si>
    <t>team leader + all members</t>
  </si>
  <si>
    <t>Manage issues in the central place like GitHub project. Assigned work to one specific person each.</t>
  </si>
  <si>
    <t>worked on wrong components</t>
  </si>
  <si>
    <t>A team member modified the wrong part of the system because the task or code hard to understand or not clear.</t>
  </si>
  <si>
    <t>team leader + design and implementation leader</t>
  </si>
  <si>
    <t>Add acceptance criteria and affected components in each task</t>
  </si>
  <si>
    <t>useless work</t>
  </si>
  <si>
    <t>Add new shiny framework, technlogy, or setup meeting that don't contribute directly to project progress.</t>
  </si>
  <si>
    <t>team leader + requirement leader</t>
  </si>
  <si>
    <t>Proritize work against the agreed project scope and confirm uncertain features before implementation.</t>
  </si>
  <si>
    <t>inconsistent work</t>
  </si>
  <si>
    <t>No coding standards including naming, branching, and formating.</t>
  </si>
  <si>
    <t>configuration leader + all members</t>
  </si>
  <si>
    <t>Add linter into source code, agree on coding conventions, and review changes through pull requests.</t>
  </si>
  <si>
    <t>multiple toolings</t>
  </si>
  <si>
    <t>Share documentations in multiple platforms including Discord, Drive, and Git leading to hard to keep track of and someone might get access to</t>
  </si>
  <si>
    <t>Consolidate tools by using Discord for chat only, drive for live documentations, and Github for source code and final documentation or read me file.</t>
  </si>
  <si>
    <t xml:space="preserve">Requirements </t>
  </si>
  <si>
    <t>unclear requirements</t>
  </si>
  <si>
    <t>The team does not have enough detail to determine what a feature should do.</t>
  </si>
  <si>
    <t>requirement leader + design and implementaion leader</t>
  </si>
  <si>
    <t>Use AI for quick prototypes the idea or play around with the existing legacy app if there is any.</t>
  </si>
  <si>
    <t>scope creep</t>
  </si>
  <si>
    <t>New features are added after the scope has been agreed.</t>
  </si>
  <si>
    <t>Add new ideas to the backlog and only implement when teams agree there is enough time.</t>
  </si>
  <si>
    <t>constant requirements changes</t>
  </si>
  <si>
    <t>Frequent changes cause rework and make it difficult to finish planned features.</t>
  </si>
  <si>
    <t>requirement leader + team leader</t>
  </si>
  <si>
    <t>Track progress and keep inform all members</t>
  </si>
  <si>
    <t>Management</t>
  </si>
  <si>
    <t>improper task assignments</t>
  </si>
  <si>
    <t>Tasks are assigned without considering each member's skills, workload, or dependencies</t>
  </si>
  <si>
    <t>Estimate tasks, consider dependencies and individual strengths, and balance workload across the team.</t>
  </si>
  <si>
    <t>improper planning</t>
  </si>
  <si>
    <t>The team underestimated work or does not have enough time for testing idea or writting documentation.</t>
  </si>
  <si>
    <t>Group features and identity dependencies for each release. Create a meeting to reflect on previous works.</t>
  </si>
  <si>
    <t>lack of management skills</t>
  </si>
  <si>
    <t>The team has difficulty coordinating work, resolving blockers, or making decisions</t>
  </si>
  <si>
    <t>Use short meetings, a shared task board, clear ownership, and an escalation process for blockers.</t>
  </si>
  <si>
    <t>Technology competence</t>
  </si>
  <si>
    <t>Not familiar with the framework used</t>
  </si>
  <si>
    <t>A team member lacks experience with the selected framework and needs more time than expected.</t>
  </si>
  <si>
    <t>Use AI for speeding up basic knowledge and create small proof-of-concept if there is any times.</t>
  </si>
  <si>
    <t>Not familiar with the programming language used</t>
  </si>
  <si>
    <t>A team member has limited experience with a language required by the project</t>
  </si>
  <si>
    <t>Use AI for speeding up basic knowledge. Pair programming with experienced developers.</t>
  </si>
  <si>
    <t>Not familiar with unit testing</t>
  </si>
  <si>
    <t>Insufficient testing knowledge leads to weak tests, late defect discovery, or spent more time on fixing tests rather than deliver features.</t>
  </si>
  <si>
    <t>Agree early on what should be tested and required tests for important business logic.</t>
  </si>
  <si>
    <t>Other technology incompetence</t>
  </si>
  <si>
    <t>A required tool, library, API, or deployment technology is unfamiliar to the team.</t>
  </si>
  <si>
    <t>Use AI for validating unfamiliar technologies before integrating with the project.</t>
  </si>
  <si>
    <t>Not familiar with Git</t>
  </si>
  <si>
    <t>Git mistakes cause lot of work, difficult merges, or accidental changes to the shared branches.</t>
  </si>
  <si>
    <t>Reach out to experienced developer and resolve conflicts</t>
  </si>
  <si>
    <t>Design and implementation</t>
  </si>
  <si>
    <t>Improper design</t>
  </si>
  <si>
    <t>The initial architecture or design makes the system difficult to change, test, or maintain</t>
  </si>
  <si>
    <t>design and implementation leader</t>
  </si>
  <si>
    <t>Review architecture before implemeting major features. Keep it simple and open and make sure it meet current requirements.</t>
  </si>
  <si>
    <t>improper technology stack</t>
  </si>
  <si>
    <t>The selected technologies introduced unnecessary complexity or cannot satify project requirements.</t>
  </si>
  <si>
    <t>Evaluate the stack against requirements, team experienced, deployment constraints, and timeline.</t>
  </si>
  <si>
    <t>Messy code</t>
  </si>
  <si>
    <t>Inconsistent or overly complex code increases defects, hard to changes, and make collaboration harder.</t>
  </si>
  <si>
    <t>Setup at least two developers approved on pull request before merged to default branch. Ask for unit testing when code hard to read.</t>
  </si>
  <si>
    <t xml:space="preserve">Testing </t>
  </si>
  <si>
    <t>Not enough testing</t>
  </si>
  <si>
    <t>Less code coverage on the required business requirement.</t>
  </si>
  <si>
    <t>QA leader + all members</t>
  </si>
  <si>
    <t>Setup test automation and integration with source control like Git. Monitor code coverage and block merged when percentage drop lower than what team agreed on.</t>
  </si>
  <si>
    <t>Integration and deployment</t>
  </si>
  <si>
    <t>Not enough time for integration and deployment</t>
  </si>
  <si>
    <t>Spend more time on coding but don't have CI/CD in place and leading to environment specific problems.</t>
  </si>
  <si>
    <t>configuration leader</t>
  </si>
  <si>
    <t>Setup CI/CD as soon as the project getting started</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</si>
</sst>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dd/yyyy"/>
    <numFmt numFmtId="165" formatCode="m/d"/>
  </numFmts>
  <fonts count="6">
    <font>
      <sz val="10.0"/>
      <color rgb="FF000000"/>
      <name val="Arial"/>
    </font>
    <font>
      <color rgb="FFFF0000"/>
    </font>
    <font/>
    <font>
      <name val="Arial"/>
    </font>
    <font>
      <color rgb="FF000000"/>
      <name val="Arial"/>
    </font>
    <font>
      <color rgb="FF000000"/>
    </font>
  </fonts>
  <fills count="4">
    <fill>
      <patternFill patternType="none"/>
    </fill>
    <fill>
      <patternFill patternType="lightGray"/>
    </fill>
    <fill>
      <patternFill patternType="solid">
        <fgColor rgb="FFFFFFFF"/>
        <bgColor rgb="FFFFFFFF"/>
      </patternFill>
    </fill>
    <fill>
      <patternFill patternType="solid">
        <fgColor rgb="FFD9EAD3"/>
        <bgColor rgb="FFD9EAD3"/>
      </patternFill>
    </fill>
  </fills>
  <borders count="1">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0" fontId="2" numFmtId="0" xfId="0" applyAlignment="1" applyFont="1">
      <alignment readingOrder="0" shrinkToFit="0" wrapText="1"/>
    </xf>
    <xf borderId="0" fillId="0" fontId="3" numFmtId="0" xfId="0" applyAlignment="1" applyFont="1">
      <alignment readingOrder="0" shrinkToFit="0" vertical="bottom" wrapText="1"/>
    </xf>
    <xf borderId="0" fillId="0" fontId="3" numFmtId="0" xfId="0" applyAlignment="1" applyFont="1">
      <alignment horizontal="right" readingOrder="0" shrinkToFit="0" vertical="bottom" wrapText="1"/>
    </xf>
    <xf borderId="0" fillId="0" fontId="3" numFmtId="164" xfId="0" applyAlignment="1" applyFont="1" applyNumberFormat="1">
      <alignment horizontal="right" readingOrder="0" shrinkToFit="0" vertical="bottom" wrapText="1"/>
    </xf>
    <xf borderId="0" fillId="0" fontId="3" numFmtId="0" xfId="0" applyAlignment="1" applyFont="1">
      <alignment vertical="bottom"/>
    </xf>
    <xf borderId="0" fillId="0" fontId="3" numFmtId="0" xfId="0" applyAlignment="1" applyFont="1">
      <alignment shrinkToFit="0" vertical="bottom" wrapText="1"/>
    </xf>
    <xf borderId="0" fillId="0" fontId="3" numFmtId="0" xfId="0" applyAlignment="1" applyFont="1">
      <alignment horizontal="right" shrinkToFit="0" vertical="bottom" wrapText="1"/>
    </xf>
    <xf borderId="0" fillId="0" fontId="2" numFmtId="0" xfId="0" applyAlignment="1" applyFont="1">
      <alignment readingOrder="0"/>
    </xf>
    <xf borderId="0" fillId="0" fontId="2" numFmtId="0" xfId="0" applyAlignment="1" applyFont="1">
      <alignment shrinkToFit="0" wrapText="1"/>
    </xf>
    <xf borderId="0" fillId="3" fontId="4" numFmtId="0" xfId="0" applyAlignment="1" applyFill="1" applyFont="1">
      <alignment readingOrder="0" shrinkToFit="0" vertical="bottom" wrapText="1"/>
    </xf>
    <xf borderId="0" fillId="3" fontId="5" numFmtId="0" xfId="0" applyAlignment="1" applyFill="1" applyFont="1">
      <alignment readingOrder="0"/>
    </xf>
    <xf borderId="0" fillId="3" fontId="4" numFmtId="0" xfId="0" applyAlignment="1" applyFill="1" applyFont="1">
      <alignment horizontal="right" readingOrder="0" shrinkToFit="0" vertical="bottom" wrapText="1"/>
    </xf>
    <xf borderId="0" fillId="3" fontId="4" numFmtId="0" xfId="0" applyAlignment="1" applyFill="1" applyFont="1">
      <alignment horizontal="right" shrinkToFit="0" vertical="bottom" wrapText="1"/>
    </xf>
    <xf borderId="0" fillId="3" fontId="4" numFmtId="164" xfId="0" applyAlignment="1" applyFill="1" applyFont="1" applyNumberFormat="1">
      <alignment horizontal="right" readingOrder="0" shrinkToFit="0" vertical="bottom" wrapText="1"/>
    </xf>
    <xf borderId="0" fillId="3" fontId="4" numFmtId="0" xfId="0" applyAlignment="1" applyFill="1" applyFont="1">
      <alignment shrinkToFit="0" vertical="bottom" wrapText="1"/>
    </xf>
    <xf borderId="0" fillId="3" fontId="4" numFmtId="0" xfId="0" applyAlignment="1" applyFill="1" applyFont="1">
      <alignment vertical="bottom"/>
    </xf>
    <xf borderId="0" fillId="2" fontId="4" numFmtId="0" xfId="0" applyAlignment="1" applyFill="1" applyFont="1">
      <alignment horizontal="left" readingOrder="0" shrinkToFit="0" wrapText="1"/>
    </xf>
    <xf borderId="0" fillId="0" fontId="3" numFmtId="0" xfId="0" applyAlignment="1" applyFont="1">
      <alignment horizontal="right" shrinkToFit="0" vertical="bottom" wrapText="1"/>
    </xf>
    <xf borderId="0" fillId="0" fontId="3" numFmtId="165" xfId="0" applyAlignment="1" applyFont="1" applyNumberFormat="1">
      <alignment horizontal="right" shrinkToFit="0" vertical="bottom" wrapText="1"/>
    </xf>
    <xf borderId="0" fillId="0" fontId="3" numFmtId="0" xfId="0" applyAlignment="1" applyFont="1">
      <alignment readingOrder="0" vertical="bottom"/>
    </xf>
    <xf borderId="0" fillId="0" fontId="3" numFmtId="0" xfId="0" applyAlignment="1" applyFont="1">
      <alignment horizontal="right" vertical="bottom"/>
    </xf>
    <xf borderId="0" fillId="0" fontId="3" numFmtId="0" xfId="0" applyAlignment="1" applyFont="1">
      <alignment horizontal="right" vertical="bottom"/>
    </xf>
    <xf borderId="0" fillId="0" fontId="3" numFmtId="165" xfId="0" applyAlignment="1" applyFont="1" applyNumberFormat="1">
      <alignment horizontal="right" vertical="bottom"/>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Kimleng Lim" id="{e5bdea46-78e6-4703-a1e3-894e768ea79f}" providerId="google-sheets"/>
</x18tc:personList>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14" dT="2026-09-07T19:06:17.00" personId="{e5bdea46-78e6-4703-a1e3-894e768ea79f}" id="{21668a43-a8e5-4d65-ac4a-9cca003fb778}" done="0">
    <x18tc:text xml:space="preserve">It's costly because it can lead to team member dropping out.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63"/>
    <col customWidth="1" min="2" max="2" width="22.25"/>
    <col customWidth="1" min="3" max="3" width="25.75"/>
    <col customWidth="1" min="4" max="4" width="8.88"/>
    <col customWidth="1" min="5" max="5" width="10.13"/>
    <col customWidth="1" min="6" max="7" width="10.88"/>
    <col customWidth="1" min="8" max="8" width="10.75"/>
    <col customWidth="1" min="9" max="9" width="11.75"/>
    <col customWidth="1" min="10" max="10" width="18.5"/>
    <col customWidth="1" min="11" max="11" width="16.38"/>
    <col customWidth="1" min="12" max="12" width="8.25"/>
  </cols>
  <sheetData>
    <row r="1" ht="37.5" customHeight="1">
      <c r="A1" s="1" t="s">
        <v>0</v>
      </c>
      <c r="B1" s="2"/>
      <c r="C1" s="2"/>
      <c r="D1" s="2"/>
      <c r="E1" s="2"/>
      <c r="F1" s="2"/>
      <c r="G1" s="2"/>
      <c r="H1" s="2"/>
      <c r="I1" s="2"/>
      <c r="J1" s="2"/>
      <c r="K1" s="2"/>
    </row>
    <row r="2">
      <c r="A2" s="2" t="s">
        <v>1</v>
      </c>
      <c r="B2" s="2" t="s">
        <v>2</v>
      </c>
      <c r="C2" s="2" t="s">
        <v>3</v>
      </c>
      <c r="D2" s="2" t="s">
        <v>4</v>
      </c>
      <c r="E2" s="2" t="s">
        <v>5</v>
      </c>
      <c r="F2" s="2" t="s">
        <v>6</v>
      </c>
      <c r="G2" s="2" t="s">
        <v>7</v>
      </c>
      <c r="H2" s="2" t="s">
        <v>8</v>
      </c>
      <c r="I2" s="2" t="s">
        <v>9</v>
      </c>
      <c r="J2" s="2" t="s">
        <v>10</v>
      </c>
      <c r="K2" s="2" t="s">
        <v>11</v>
      </c>
      <c r="L2" s="2" t="s">
        <v>12</v>
      </c>
    </row>
    <row r="3">
      <c r="A3" s="3" t="s">
        <v>13</v>
      </c>
      <c r="B3" s="2" t="s">
        <v>14</v>
      </c>
      <c r="C3" s="3" t="s">
        <v>15</v>
      </c>
      <c r="D3" s="4">
        <v>1.0</v>
      </c>
      <c r="E3" s="4">
        <v>5.0</v>
      </c>
      <c r="F3" s="4">
        <v>4.0</v>
      </c>
      <c r="G3" s="4">
        <f t="shared" ref="G3:G26" si="1">(6-D3)*(6-E3)*F3</f>
        <v>20</v>
      </c>
      <c r="H3" s="3" t="s">
        <v>16</v>
      </c>
      <c r="I3" s="5">
        <v>46304.0</v>
      </c>
      <c r="J3" s="3" t="s">
        <v>17</v>
      </c>
      <c r="K3" s="3" t="s">
        <v>18</v>
      </c>
      <c r="L3" s="3" t="s">
        <v>19</v>
      </c>
      <c r="M3" s="6"/>
      <c r="N3" s="6"/>
      <c r="O3" s="6"/>
      <c r="P3" s="6"/>
      <c r="Q3" s="6"/>
      <c r="R3" s="6"/>
      <c r="S3" s="6"/>
      <c r="T3" s="6"/>
      <c r="U3" s="6"/>
      <c r="V3" s="6"/>
      <c r="W3" s="6"/>
      <c r="X3" s="6"/>
      <c r="Y3" s="6"/>
      <c r="Z3" s="6"/>
      <c r="AA3" s="6"/>
    </row>
    <row r="4">
      <c r="A4" s="7"/>
      <c r="B4" s="2" t="s">
        <v>20</v>
      </c>
      <c r="C4" s="3" t="s">
        <v>21</v>
      </c>
      <c r="D4" s="4">
        <v>1.0</v>
      </c>
      <c r="E4" s="4">
        <v>3.0</v>
      </c>
      <c r="F4" s="4">
        <v>3.0</v>
      </c>
      <c r="G4" s="8">
        <f t="shared" si="1"/>
        <v>45</v>
      </c>
      <c r="H4" s="3" t="s">
        <v>22</v>
      </c>
      <c r="I4" s="5">
        <v>46304.0</v>
      </c>
      <c r="J4" s="3" t="s">
        <v>23</v>
      </c>
      <c r="K4" s="7"/>
      <c r="L4" s="3" t="s">
        <v>19</v>
      </c>
      <c r="M4" s="6"/>
      <c r="N4" s="6"/>
      <c r="O4" s="6"/>
      <c r="P4" s="6"/>
      <c r="Q4" s="6"/>
      <c r="R4" s="6"/>
      <c r="S4" s="6"/>
      <c r="T4" s="6"/>
      <c r="U4" s="6"/>
      <c r="V4" s="6"/>
      <c r="W4" s="6"/>
      <c r="X4" s="6"/>
      <c r="Y4" s="6"/>
      <c r="Z4" s="6"/>
      <c r="AA4" s="6"/>
    </row>
    <row r="5">
      <c r="A5" s="7"/>
      <c r="B5" s="2" t="s">
        <v>24</v>
      </c>
      <c r="C5" s="3" t="s">
        <v>25</v>
      </c>
      <c r="D5" s="4">
        <v>2.0</v>
      </c>
      <c r="E5" s="4">
        <v>5.0</v>
      </c>
      <c r="F5" s="4">
        <v>4.0</v>
      </c>
      <c r="G5" s="8">
        <f t="shared" si="1"/>
        <v>16</v>
      </c>
      <c r="H5" s="9" t="s">
        <v>26</v>
      </c>
      <c r="I5" s="5">
        <v>46304.0</v>
      </c>
      <c r="J5" s="3" t="s">
        <v>27</v>
      </c>
      <c r="K5" s="7"/>
      <c r="L5" s="3" t="s">
        <v>19</v>
      </c>
      <c r="M5" s="6"/>
      <c r="N5" s="6"/>
      <c r="O5" s="6"/>
      <c r="P5" s="6"/>
      <c r="Q5" s="6"/>
      <c r="R5" s="6"/>
      <c r="S5" s="6"/>
      <c r="T5" s="6"/>
      <c r="U5" s="6"/>
      <c r="V5" s="6"/>
      <c r="W5" s="6"/>
      <c r="X5" s="6"/>
      <c r="Y5" s="6"/>
      <c r="Z5" s="6"/>
      <c r="AA5" s="6"/>
    </row>
    <row r="6">
      <c r="A6" s="3" t="s">
        <v>28</v>
      </c>
      <c r="B6" s="2" t="s">
        <v>29</v>
      </c>
      <c r="C6" s="3" t="s">
        <v>30</v>
      </c>
      <c r="D6" s="4">
        <v>1.0</v>
      </c>
      <c r="E6" s="4">
        <v>1.0</v>
      </c>
      <c r="F6" s="4">
        <v>1.0</v>
      </c>
      <c r="G6" s="8">
        <f t="shared" si="1"/>
        <v>25</v>
      </c>
      <c r="H6" s="3" t="s">
        <v>31</v>
      </c>
      <c r="I6" s="5">
        <v>46304.0</v>
      </c>
      <c r="J6" s="3" t="s">
        <v>32</v>
      </c>
      <c r="K6" s="7"/>
      <c r="L6" s="3" t="s">
        <v>19</v>
      </c>
      <c r="M6" s="6"/>
      <c r="N6" s="6"/>
      <c r="O6" s="6"/>
      <c r="P6" s="6"/>
      <c r="Q6" s="6"/>
      <c r="R6" s="6"/>
      <c r="S6" s="6"/>
      <c r="T6" s="6"/>
      <c r="U6" s="6"/>
      <c r="V6" s="6"/>
      <c r="W6" s="6"/>
      <c r="X6" s="6"/>
      <c r="Y6" s="6"/>
      <c r="Z6" s="6"/>
      <c r="AA6" s="6"/>
    </row>
    <row r="7">
      <c r="A7" s="10"/>
      <c r="B7" s="2" t="s">
        <v>33</v>
      </c>
      <c r="C7" s="3" t="s">
        <v>34</v>
      </c>
      <c r="D7" s="4">
        <v>3.0</v>
      </c>
      <c r="E7" s="4">
        <v>2.0</v>
      </c>
      <c r="F7" s="4">
        <v>3.0</v>
      </c>
      <c r="G7" s="8">
        <f t="shared" si="1"/>
        <v>36</v>
      </c>
      <c r="H7" s="3" t="s">
        <v>35</v>
      </c>
      <c r="I7" s="5">
        <v>46304.0</v>
      </c>
      <c r="J7" s="3" t="s">
        <v>36</v>
      </c>
      <c r="K7" s="7"/>
      <c r="L7" s="3" t="s">
        <v>19</v>
      </c>
      <c r="M7" s="6"/>
      <c r="N7" s="6"/>
      <c r="O7" s="6"/>
      <c r="P7" s="6"/>
      <c r="Q7" s="6"/>
      <c r="R7" s="6"/>
      <c r="S7" s="6"/>
      <c r="T7" s="6"/>
      <c r="U7" s="6"/>
      <c r="V7" s="6"/>
      <c r="W7" s="6"/>
      <c r="X7" s="6"/>
      <c r="Y7" s="6"/>
      <c r="Z7" s="6"/>
      <c r="AA7" s="6"/>
    </row>
    <row r="8">
      <c r="A8" s="3"/>
      <c r="B8" s="2" t="s">
        <v>37</v>
      </c>
      <c r="C8" s="3" t="s">
        <v>38</v>
      </c>
      <c r="D8" s="4">
        <v>2.0</v>
      </c>
      <c r="E8" s="4">
        <v>4.0</v>
      </c>
      <c r="F8" s="4">
        <v>4.0</v>
      </c>
      <c r="G8" s="8">
        <f t="shared" si="1"/>
        <v>32</v>
      </c>
      <c r="H8" s="3" t="s">
        <v>39</v>
      </c>
      <c r="I8" s="5">
        <v>46304.0</v>
      </c>
      <c r="J8" s="3" t="s">
        <v>40</v>
      </c>
      <c r="K8" s="7"/>
      <c r="L8" s="3" t="s">
        <v>19</v>
      </c>
      <c r="M8" s="6"/>
      <c r="N8" s="6"/>
      <c r="O8" s="6"/>
      <c r="P8" s="6"/>
      <c r="Q8" s="6"/>
      <c r="R8" s="6"/>
      <c r="S8" s="6"/>
      <c r="T8" s="6"/>
      <c r="U8" s="6"/>
      <c r="V8" s="6"/>
      <c r="W8" s="6"/>
      <c r="X8" s="6"/>
      <c r="Y8" s="6"/>
      <c r="Z8" s="6"/>
      <c r="AA8" s="6"/>
    </row>
    <row r="9">
      <c r="A9" s="3"/>
      <c r="B9" s="9" t="s">
        <v>41</v>
      </c>
      <c r="C9" s="3" t="s">
        <v>42</v>
      </c>
      <c r="D9" s="4">
        <v>3.0</v>
      </c>
      <c r="E9" s="4">
        <v>2.0</v>
      </c>
      <c r="F9" s="4">
        <v>3.0</v>
      </c>
      <c r="G9" s="8">
        <f t="shared" si="1"/>
        <v>36</v>
      </c>
      <c r="H9" s="3" t="s">
        <v>43</v>
      </c>
      <c r="I9" s="5">
        <v>46304.0</v>
      </c>
      <c r="J9" s="3" t="s">
        <v>44</v>
      </c>
      <c r="K9" s="7"/>
      <c r="L9" s="3" t="s">
        <v>19</v>
      </c>
      <c r="M9" s="6"/>
      <c r="N9" s="6"/>
      <c r="O9" s="6"/>
      <c r="P9" s="6"/>
      <c r="Q9" s="6"/>
      <c r="R9" s="6"/>
      <c r="S9" s="6"/>
      <c r="T9" s="6"/>
      <c r="U9" s="6"/>
      <c r="V9" s="6"/>
      <c r="W9" s="6"/>
      <c r="X9" s="6"/>
      <c r="Y9" s="6"/>
      <c r="Z9" s="6"/>
      <c r="AA9" s="6"/>
    </row>
    <row r="10">
      <c r="A10" s="11"/>
      <c r="B10" s="12" t="s">
        <v>45</v>
      </c>
      <c r="C10" s="11" t="s">
        <v>46</v>
      </c>
      <c r="D10" s="13">
        <v>2.0</v>
      </c>
      <c r="E10" s="13">
        <v>3.0</v>
      </c>
      <c r="F10" s="13">
        <v>2.0</v>
      </c>
      <c r="G10" s="14">
        <f t="shared" si="1"/>
        <v>24</v>
      </c>
      <c r="H10" s="11" t="s">
        <v>22</v>
      </c>
      <c r="I10" s="15">
        <v>46304.0</v>
      </c>
      <c r="J10" s="11" t="s">
        <v>47</v>
      </c>
      <c r="K10" s="16"/>
      <c r="L10" s="11" t="s">
        <v>19</v>
      </c>
      <c r="M10" s="17"/>
      <c r="N10" s="17"/>
      <c r="O10" s="17"/>
      <c r="P10" s="17"/>
      <c r="Q10" s="17"/>
      <c r="R10" s="17"/>
      <c r="S10" s="17"/>
      <c r="T10" s="17"/>
      <c r="U10" s="17"/>
      <c r="V10" s="17"/>
      <c r="W10" s="17"/>
      <c r="X10" s="17"/>
      <c r="Y10" s="17"/>
      <c r="Z10" s="17"/>
      <c r="AA10" s="17"/>
    </row>
    <row r="11">
      <c r="A11" s="3" t="s">
        <v>48</v>
      </c>
      <c r="B11" s="2" t="s">
        <v>49</v>
      </c>
      <c r="C11" s="3" t="s">
        <v>50</v>
      </c>
      <c r="D11" s="4">
        <v>1.0</v>
      </c>
      <c r="E11" s="4">
        <v>5.0</v>
      </c>
      <c r="F11" s="4">
        <v>3.0</v>
      </c>
      <c r="G11" s="8">
        <f t="shared" si="1"/>
        <v>15</v>
      </c>
      <c r="H11" s="3" t="s">
        <v>51</v>
      </c>
      <c r="I11" s="5">
        <v>46304.0</v>
      </c>
      <c r="J11" s="3" t="s">
        <v>52</v>
      </c>
      <c r="K11" s="7"/>
      <c r="L11" s="3" t="s">
        <v>19</v>
      </c>
      <c r="M11" s="6"/>
      <c r="N11" s="6"/>
      <c r="O11" s="6"/>
      <c r="P11" s="6"/>
      <c r="Q11" s="6"/>
      <c r="R11" s="6"/>
      <c r="S11" s="6"/>
      <c r="T11" s="6"/>
      <c r="U11" s="6"/>
      <c r="V11" s="6"/>
      <c r="W11" s="6"/>
      <c r="X11" s="6"/>
      <c r="Y11" s="6"/>
      <c r="Z11" s="6"/>
      <c r="AA11" s="6"/>
    </row>
    <row r="12">
      <c r="A12" s="7"/>
      <c r="B12" s="2" t="s">
        <v>53</v>
      </c>
      <c r="C12" s="3" t="s">
        <v>54</v>
      </c>
      <c r="D12" s="4">
        <v>3.0</v>
      </c>
      <c r="E12" s="4">
        <v>3.0</v>
      </c>
      <c r="F12" s="4">
        <v>3.0</v>
      </c>
      <c r="G12" s="8">
        <f t="shared" si="1"/>
        <v>27</v>
      </c>
      <c r="H12" s="3" t="s">
        <v>26</v>
      </c>
      <c r="I12" s="5">
        <v>46304.0</v>
      </c>
      <c r="J12" s="3" t="s">
        <v>55</v>
      </c>
      <c r="K12" s="7"/>
      <c r="L12" s="3" t="s">
        <v>19</v>
      </c>
      <c r="M12" s="6"/>
      <c r="N12" s="6"/>
      <c r="O12" s="6"/>
      <c r="P12" s="6"/>
      <c r="Q12" s="6"/>
      <c r="R12" s="6"/>
      <c r="S12" s="6"/>
      <c r="T12" s="6"/>
      <c r="U12" s="6"/>
      <c r="V12" s="6"/>
      <c r="W12" s="6"/>
      <c r="X12" s="6"/>
      <c r="Y12" s="6"/>
      <c r="Z12" s="6"/>
      <c r="AA12" s="6"/>
    </row>
    <row r="13">
      <c r="A13" s="7"/>
      <c r="B13" s="2" t="s">
        <v>56</v>
      </c>
      <c r="C13" s="3" t="s">
        <v>57</v>
      </c>
      <c r="D13" s="4">
        <v>3.0</v>
      </c>
      <c r="E13" s="4">
        <v>5.0</v>
      </c>
      <c r="F13" s="4">
        <v>5.0</v>
      </c>
      <c r="G13" s="8">
        <f t="shared" si="1"/>
        <v>15</v>
      </c>
      <c r="H13" s="3" t="s">
        <v>58</v>
      </c>
      <c r="I13" s="5">
        <v>46304.0</v>
      </c>
      <c r="J13" s="3" t="s">
        <v>59</v>
      </c>
      <c r="K13" s="7"/>
      <c r="L13" s="3" t="s">
        <v>19</v>
      </c>
      <c r="M13" s="6"/>
      <c r="N13" s="6"/>
      <c r="O13" s="6"/>
      <c r="P13" s="6"/>
      <c r="Q13" s="6"/>
      <c r="R13" s="6"/>
      <c r="S13" s="6"/>
      <c r="T13" s="6"/>
      <c r="U13" s="6"/>
      <c r="V13" s="6"/>
      <c r="W13" s="6"/>
      <c r="X13" s="6"/>
      <c r="Y13" s="6"/>
      <c r="Z13" s="6"/>
      <c r="AA13" s="6"/>
    </row>
    <row r="14">
      <c r="A14" s="3" t="s">
        <v>60</v>
      </c>
      <c r="B14" s="2" t="s">
        <v>61</v>
      </c>
      <c r="C14" s="3" t="s">
        <v>62</v>
      </c>
      <c r="D14" s="4">
        <v>2.0</v>
      </c>
      <c r="E14" s="4">
        <v>4.0</v>
      </c>
      <c r="F14" s="4">
        <v>5.0</v>
      </c>
      <c r="G14" s="8">
        <f t="shared" si="1"/>
        <v>40</v>
      </c>
      <c r="H14" s="3" t="s">
        <v>26</v>
      </c>
      <c r="I14" s="5">
        <v>46304.0</v>
      </c>
      <c r="J14" s="3" t="s">
        <v>63</v>
      </c>
      <c r="K14" s="7"/>
      <c r="L14" s="3" t="s">
        <v>19</v>
      </c>
      <c r="M14" s="6"/>
      <c r="N14" s="6"/>
      <c r="O14" s="6"/>
      <c r="P14" s="6"/>
      <c r="Q14" s="6"/>
      <c r="R14" s="6"/>
      <c r="S14" s="6"/>
      <c r="T14" s="6"/>
      <c r="U14" s="6"/>
      <c r="V14" s="6"/>
      <c r="W14" s="6"/>
      <c r="X14" s="6"/>
      <c r="Y14" s="6"/>
      <c r="Z14" s="6"/>
      <c r="AA14" s="6"/>
    </row>
    <row r="15">
      <c r="A15" s="7"/>
      <c r="B15" s="2" t="s">
        <v>64</v>
      </c>
      <c r="C15" s="3" t="s">
        <v>65</v>
      </c>
      <c r="D15" s="4">
        <v>2.0</v>
      </c>
      <c r="E15" s="4">
        <v>4.0</v>
      </c>
      <c r="F15" s="4">
        <v>4.0</v>
      </c>
      <c r="G15" s="8">
        <f t="shared" si="1"/>
        <v>32</v>
      </c>
      <c r="H15" s="3" t="s">
        <v>26</v>
      </c>
      <c r="I15" s="5">
        <v>46304.0</v>
      </c>
      <c r="J15" s="3" t="s">
        <v>66</v>
      </c>
      <c r="K15" s="7"/>
      <c r="L15" s="3" t="s">
        <v>19</v>
      </c>
      <c r="M15" s="6"/>
      <c r="N15" s="6"/>
      <c r="O15" s="6"/>
      <c r="P15" s="6"/>
      <c r="Q15" s="6"/>
      <c r="R15" s="6"/>
      <c r="S15" s="6"/>
      <c r="T15" s="6"/>
      <c r="U15" s="6"/>
      <c r="V15" s="6"/>
      <c r="W15" s="6"/>
      <c r="X15" s="6"/>
      <c r="Y15" s="6"/>
      <c r="Z15" s="6"/>
      <c r="AA15" s="6"/>
    </row>
    <row r="16">
      <c r="A16" s="7"/>
      <c r="B16" s="9" t="s">
        <v>67</v>
      </c>
      <c r="C16" s="3" t="s">
        <v>68</v>
      </c>
      <c r="D16" s="4">
        <v>1.0</v>
      </c>
      <c r="E16" s="4">
        <v>3.0</v>
      </c>
      <c r="F16" s="4">
        <v>3.0</v>
      </c>
      <c r="G16" s="8">
        <f t="shared" si="1"/>
        <v>45</v>
      </c>
      <c r="H16" s="3" t="s">
        <v>26</v>
      </c>
      <c r="I16" s="5">
        <v>46304.0</v>
      </c>
      <c r="J16" s="3" t="s">
        <v>69</v>
      </c>
      <c r="K16" s="7"/>
      <c r="L16" s="3" t="s">
        <v>19</v>
      </c>
      <c r="M16" s="6"/>
      <c r="N16" s="6"/>
      <c r="O16" s="6"/>
      <c r="P16" s="6"/>
      <c r="Q16" s="6"/>
      <c r="R16" s="6"/>
      <c r="S16" s="6"/>
      <c r="T16" s="6"/>
      <c r="U16" s="6"/>
      <c r="V16" s="6"/>
      <c r="W16" s="6"/>
      <c r="X16" s="6"/>
      <c r="Y16" s="6"/>
      <c r="Z16" s="6"/>
      <c r="AA16" s="6"/>
    </row>
    <row r="17">
      <c r="A17" s="3" t="s">
        <v>70</v>
      </c>
      <c r="B17" s="2" t="s">
        <v>71</v>
      </c>
      <c r="C17" s="3" t="s">
        <v>72</v>
      </c>
      <c r="D17" s="4">
        <v>3.0</v>
      </c>
      <c r="E17" s="4">
        <v>2.0</v>
      </c>
      <c r="F17" s="4">
        <v>1.0</v>
      </c>
      <c r="G17" s="8">
        <f t="shared" si="1"/>
        <v>12</v>
      </c>
      <c r="H17" s="3" t="s">
        <v>22</v>
      </c>
      <c r="I17" s="5">
        <v>46304.0</v>
      </c>
      <c r="J17" s="3" t="s">
        <v>73</v>
      </c>
      <c r="K17" s="7"/>
      <c r="L17" s="3" t="s">
        <v>19</v>
      </c>
      <c r="M17" s="6"/>
      <c r="N17" s="6"/>
      <c r="O17" s="6"/>
      <c r="P17" s="6"/>
      <c r="Q17" s="6"/>
      <c r="R17" s="6"/>
      <c r="S17" s="6"/>
      <c r="T17" s="6"/>
      <c r="U17" s="6"/>
      <c r="V17" s="6"/>
      <c r="W17" s="6"/>
      <c r="X17" s="6"/>
      <c r="Y17" s="6"/>
      <c r="Z17" s="6"/>
      <c r="AA17" s="6"/>
    </row>
    <row r="18">
      <c r="A18" s="7"/>
      <c r="B18" s="2" t="s">
        <v>74</v>
      </c>
      <c r="C18" s="3" t="s">
        <v>75</v>
      </c>
      <c r="D18" s="4">
        <v>3.0</v>
      </c>
      <c r="E18" s="4">
        <v>2.0</v>
      </c>
      <c r="F18" s="4">
        <v>1.0</v>
      </c>
      <c r="G18" s="8">
        <f t="shared" si="1"/>
        <v>12</v>
      </c>
      <c r="H18" s="3" t="s">
        <v>22</v>
      </c>
      <c r="I18" s="5">
        <v>46304.0</v>
      </c>
      <c r="J18" s="3" t="s">
        <v>76</v>
      </c>
      <c r="K18" s="7"/>
      <c r="L18" s="3" t="s">
        <v>19</v>
      </c>
      <c r="M18" s="6"/>
      <c r="N18" s="6"/>
      <c r="O18" s="6"/>
      <c r="P18" s="6"/>
      <c r="Q18" s="6"/>
      <c r="R18" s="6"/>
      <c r="S18" s="6"/>
      <c r="T18" s="6"/>
      <c r="U18" s="6"/>
      <c r="V18" s="6"/>
      <c r="W18" s="6"/>
      <c r="X18" s="6"/>
      <c r="Y18" s="6"/>
      <c r="Z18" s="6"/>
      <c r="AA18" s="6"/>
    </row>
    <row r="19">
      <c r="A19" s="7"/>
      <c r="B19" s="2" t="s">
        <v>77</v>
      </c>
      <c r="C19" s="3" t="s">
        <v>78</v>
      </c>
      <c r="D19" s="4">
        <v>3.0</v>
      </c>
      <c r="E19" s="4">
        <v>2.0</v>
      </c>
      <c r="F19" s="4">
        <v>1.0</v>
      </c>
      <c r="G19" s="8">
        <f t="shared" si="1"/>
        <v>12</v>
      </c>
      <c r="H19" s="3" t="s">
        <v>22</v>
      </c>
      <c r="I19" s="5">
        <v>46304.0</v>
      </c>
      <c r="J19" s="3" t="s">
        <v>79</v>
      </c>
      <c r="K19" s="7"/>
      <c r="L19" s="3" t="s">
        <v>19</v>
      </c>
      <c r="M19" s="6"/>
      <c r="N19" s="6"/>
      <c r="O19" s="6"/>
      <c r="P19" s="6"/>
      <c r="Q19" s="6"/>
      <c r="R19" s="6"/>
      <c r="S19" s="6"/>
      <c r="T19" s="6"/>
      <c r="U19" s="6"/>
      <c r="V19" s="6"/>
      <c r="W19" s="6"/>
      <c r="X19" s="6"/>
      <c r="Y19" s="6"/>
      <c r="Z19" s="6"/>
      <c r="AA19" s="6"/>
    </row>
    <row r="20">
      <c r="A20" s="7"/>
      <c r="B20" s="2" t="s">
        <v>80</v>
      </c>
      <c r="C20" s="3" t="s">
        <v>81</v>
      </c>
      <c r="D20" s="4">
        <v>3.0</v>
      </c>
      <c r="E20" s="4">
        <v>2.0</v>
      </c>
      <c r="F20" s="4">
        <v>1.0</v>
      </c>
      <c r="G20" s="8">
        <f t="shared" si="1"/>
        <v>12</v>
      </c>
      <c r="H20" s="3" t="s">
        <v>22</v>
      </c>
      <c r="I20" s="5">
        <v>46304.0</v>
      </c>
      <c r="J20" s="3" t="s">
        <v>82</v>
      </c>
      <c r="K20" s="7"/>
      <c r="L20" s="3" t="s">
        <v>19</v>
      </c>
      <c r="M20" s="6"/>
      <c r="N20" s="6"/>
      <c r="O20" s="6"/>
      <c r="P20" s="6"/>
      <c r="Q20" s="6"/>
      <c r="R20" s="6"/>
      <c r="S20" s="6"/>
      <c r="T20" s="6"/>
      <c r="U20" s="6"/>
      <c r="V20" s="6"/>
      <c r="W20" s="6"/>
      <c r="X20" s="6"/>
      <c r="Y20" s="6"/>
      <c r="Z20" s="6"/>
      <c r="AA20" s="6"/>
    </row>
    <row r="21">
      <c r="A21" s="7"/>
      <c r="B21" s="2" t="s">
        <v>83</v>
      </c>
      <c r="C21" s="3" t="s">
        <v>84</v>
      </c>
      <c r="D21" s="4">
        <v>3.0</v>
      </c>
      <c r="E21" s="4">
        <v>2.0</v>
      </c>
      <c r="F21" s="4">
        <v>1.0</v>
      </c>
      <c r="G21" s="8">
        <f t="shared" si="1"/>
        <v>12</v>
      </c>
      <c r="H21" s="3" t="s">
        <v>22</v>
      </c>
      <c r="I21" s="5">
        <v>46304.0</v>
      </c>
      <c r="J21" s="3" t="s">
        <v>85</v>
      </c>
      <c r="K21" s="7"/>
      <c r="L21" s="3" t="s">
        <v>19</v>
      </c>
      <c r="M21" s="6"/>
      <c r="N21" s="6"/>
      <c r="O21" s="6"/>
      <c r="P21" s="6"/>
      <c r="Q21" s="6"/>
      <c r="R21" s="6"/>
      <c r="S21" s="6"/>
      <c r="T21" s="6"/>
      <c r="U21" s="6"/>
      <c r="V21" s="6"/>
      <c r="W21" s="6"/>
      <c r="X21" s="6"/>
      <c r="Y21" s="6"/>
      <c r="Z21" s="6"/>
      <c r="AA21" s="6"/>
    </row>
    <row r="22">
      <c r="A22" s="3" t="s">
        <v>86</v>
      </c>
      <c r="B22" s="2" t="s">
        <v>87</v>
      </c>
      <c r="C22" s="3" t="s">
        <v>88</v>
      </c>
      <c r="D22" s="4">
        <v>3.0</v>
      </c>
      <c r="E22" s="4">
        <v>5.0</v>
      </c>
      <c r="F22" s="4">
        <v>4.0</v>
      </c>
      <c r="G22" s="8">
        <f t="shared" si="1"/>
        <v>12</v>
      </c>
      <c r="H22" s="3" t="s">
        <v>89</v>
      </c>
      <c r="I22" s="5">
        <v>46304.0</v>
      </c>
      <c r="J22" s="3" t="s">
        <v>90</v>
      </c>
      <c r="K22" s="7"/>
      <c r="L22" s="3" t="s">
        <v>19</v>
      </c>
      <c r="M22" s="6"/>
      <c r="N22" s="6"/>
      <c r="O22" s="6"/>
      <c r="P22" s="6"/>
      <c r="Q22" s="6"/>
      <c r="R22" s="6"/>
      <c r="S22" s="6"/>
      <c r="T22" s="6"/>
      <c r="U22" s="6"/>
      <c r="V22" s="6"/>
      <c r="W22" s="6"/>
      <c r="X22" s="6"/>
      <c r="Y22" s="6"/>
      <c r="Z22" s="6"/>
      <c r="AA22" s="6"/>
    </row>
    <row r="23">
      <c r="A23" s="3"/>
      <c r="B23" s="2" t="s">
        <v>91</v>
      </c>
      <c r="C23" s="3" t="s">
        <v>92</v>
      </c>
      <c r="D23" s="4">
        <v>2.0</v>
      </c>
      <c r="E23" s="4">
        <v>3.0</v>
      </c>
      <c r="F23" s="4">
        <v>3.0</v>
      </c>
      <c r="G23" s="8">
        <f t="shared" si="1"/>
        <v>36</v>
      </c>
      <c r="H23" s="3" t="s">
        <v>89</v>
      </c>
      <c r="I23" s="5">
        <v>46304.0</v>
      </c>
      <c r="J23" s="3" t="s">
        <v>93</v>
      </c>
      <c r="K23" s="7"/>
      <c r="L23" s="3" t="s">
        <v>19</v>
      </c>
      <c r="M23" s="6"/>
      <c r="N23" s="6"/>
      <c r="O23" s="6"/>
      <c r="P23" s="6"/>
      <c r="Q23" s="6"/>
      <c r="R23" s="6"/>
      <c r="S23" s="6"/>
      <c r="T23" s="6"/>
      <c r="U23" s="6"/>
      <c r="V23" s="6"/>
      <c r="W23" s="6"/>
      <c r="X23" s="6"/>
      <c r="Y23" s="6"/>
      <c r="Z23" s="6"/>
      <c r="AA23" s="6"/>
    </row>
    <row r="24">
      <c r="A24" s="3"/>
      <c r="B24" s="2" t="s">
        <v>94</v>
      </c>
      <c r="C24" s="3" t="s">
        <v>95</v>
      </c>
      <c r="D24" s="4">
        <v>3.0</v>
      </c>
      <c r="E24" s="4">
        <v>2.0</v>
      </c>
      <c r="F24" s="4">
        <v>2.0</v>
      </c>
      <c r="G24" s="8">
        <f t="shared" si="1"/>
        <v>24</v>
      </c>
      <c r="H24" s="3" t="s">
        <v>22</v>
      </c>
      <c r="I24" s="5">
        <v>46304.0</v>
      </c>
      <c r="J24" s="3" t="s">
        <v>96</v>
      </c>
      <c r="K24" s="7"/>
      <c r="L24" s="3" t="s">
        <v>19</v>
      </c>
      <c r="M24" s="6"/>
      <c r="N24" s="6"/>
      <c r="O24" s="6"/>
      <c r="P24" s="6"/>
      <c r="Q24" s="6"/>
      <c r="R24" s="6"/>
      <c r="S24" s="6"/>
      <c r="T24" s="6"/>
      <c r="U24" s="6"/>
      <c r="V24" s="6"/>
      <c r="W24" s="6"/>
      <c r="X24" s="6"/>
      <c r="Y24" s="6"/>
      <c r="Z24" s="6"/>
      <c r="AA24" s="6"/>
    </row>
    <row r="25">
      <c r="A25" s="3" t="s">
        <v>97</v>
      </c>
      <c r="B25" s="2" t="s">
        <v>98</v>
      </c>
      <c r="C25" s="3" t="s">
        <v>99</v>
      </c>
      <c r="D25" s="4">
        <v>3.0</v>
      </c>
      <c r="E25" s="4">
        <v>3.0</v>
      </c>
      <c r="F25" s="4">
        <v>3.0</v>
      </c>
      <c r="G25" s="8">
        <f t="shared" si="1"/>
        <v>27</v>
      </c>
      <c r="H25" s="3" t="s">
        <v>100</v>
      </c>
      <c r="I25" s="5">
        <v>46304.0</v>
      </c>
      <c r="J25" s="3" t="s">
        <v>101</v>
      </c>
      <c r="K25" s="7"/>
      <c r="L25" s="3" t="s">
        <v>19</v>
      </c>
      <c r="M25" s="6"/>
      <c r="N25" s="6"/>
      <c r="O25" s="6"/>
      <c r="P25" s="6"/>
      <c r="Q25" s="6"/>
      <c r="R25" s="6"/>
      <c r="S25" s="6"/>
      <c r="T25" s="6"/>
      <c r="U25" s="6"/>
      <c r="V25" s="6"/>
      <c r="W25" s="6"/>
      <c r="X25" s="6"/>
      <c r="Y25" s="6"/>
      <c r="Z25" s="6"/>
      <c r="AA25" s="6"/>
    </row>
    <row r="26">
      <c r="A26" s="3" t="s">
        <v>102</v>
      </c>
      <c r="B26" s="18" t="s">
        <v>103</v>
      </c>
      <c r="C26" s="3" t="s">
        <v>104</v>
      </c>
      <c r="D26" s="4">
        <v>2.0</v>
      </c>
      <c r="E26" s="4">
        <v>3.0</v>
      </c>
      <c r="F26" s="4">
        <v>3.0</v>
      </c>
      <c r="G26" s="8">
        <f t="shared" si="1"/>
        <v>36</v>
      </c>
      <c r="H26" s="3" t="s">
        <v>105</v>
      </c>
      <c r="I26" s="5">
        <v>46304.0</v>
      </c>
      <c r="J26" s="3" t="s">
        <v>106</v>
      </c>
      <c r="K26" s="7"/>
      <c r="L26" s="3" t="s">
        <v>19</v>
      </c>
      <c r="M26" s="6"/>
      <c r="N26" s="6"/>
      <c r="O26" s="6"/>
      <c r="P26" s="6"/>
      <c r="Q26" s="6"/>
      <c r="R26" s="6"/>
      <c r="S26" s="6"/>
      <c r="T26" s="6"/>
      <c r="U26" s="6"/>
      <c r="V26" s="6"/>
      <c r="W26" s="6"/>
      <c r="X26" s="6"/>
      <c r="Y26" s="6"/>
      <c r="Z26" s="6"/>
      <c r="AA26" s="6"/>
    </row>
    <row r="27">
      <c r="A27" s="2"/>
      <c r="B27" s="10"/>
      <c r="C27" s="7"/>
      <c r="D27" s="19"/>
      <c r="E27" s="8"/>
      <c r="F27" s="8"/>
      <c r="G27" s="8"/>
      <c r="H27" s="7"/>
      <c r="I27" s="20"/>
      <c r="J27" s="7"/>
      <c r="K27" s="7"/>
      <c r="L27" s="7"/>
      <c r="M27" s="6"/>
      <c r="N27" s="6"/>
      <c r="O27" s="6"/>
      <c r="P27" s="6"/>
      <c r="Q27" s="6"/>
      <c r="R27" s="6"/>
      <c r="S27" s="6"/>
      <c r="T27" s="6"/>
      <c r="U27" s="6"/>
      <c r="V27" s="6"/>
      <c r="W27" s="6"/>
      <c r="X27" s="6"/>
      <c r="Y27" s="6"/>
      <c r="Z27" s="6"/>
      <c r="AA27" s="6"/>
    </row>
    <row r="28">
      <c r="A28" s="21"/>
      <c r="C28" s="6"/>
      <c r="D28" s="22"/>
      <c r="E28" s="23"/>
      <c r="F28" s="23"/>
      <c r="G28" s="23"/>
      <c r="H28" s="6"/>
      <c r="I28" s="24"/>
      <c r="J28" s="25"/>
      <c r="K28" s="6"/>
      <c r="L28" s="6"/>
      <c r="M28" s="6"/>
      <c r="N28" s="6"/>
      <c r="O28" s="6"/>
      <c r="P28" s="6"/>
      <c r="Q28" s="6"/>
      <c r="R28" s="6"/>
      <c r="S28" s="6"/>
      <c r="T28" s="6"/>
      <c r="U28" s="6"/>
      <c r="V28" s="6"/>
      <c r="W28" s="6"/>
      <c r="X28" s="6"/>
      <c r="Y28" s="6"/>
      <c r="Z28" s="6"/>
      <c r="AA28" s="6"/>
    </row>
    <row r="29">
      <c r="A29" s="21"/>
      <c r="C29" s="6"/>
      <c r="D29" s="23"/>
      <c r="E29" s="23"/>
      <c r="F29" s="23"/>
      <c r="G29" s="23"/>
      <c r="H29" s="6"/>
      <c r="I29" s="24"/>
      <c r="J29" s="6"/>
      <c r="K29" s="6"/>
      <c r="L29" s="6"/>
      <c r="M29" s="6"/>
      <c r="N29" s="6"/>
      <c r="O29" s="6"/>
      <c r="P29" s="6"/>
      <c r="Q29" s="6"/>
      <c r="R29" s="6"/>
      <c r="S29" s="6"/>
      <c r="T29" s="6"/>
      <c r="U29" s="6"/>
      <c r="V29" s="6"/>
      <c r="W29" s="6"/>
      <c r="X29" s="6"/>
      <c r="Y29" s="6"/>
      <c r="Z29" s="6"/>
      <c r="AA29" s="6"/>
    </row>
    <row r="30">
      <c r="A30" s="6"/>
      <c r="C30" s="6"/>
      <c r="D30" s="23"/>
      <c r="E30" s="23"/>
      <c r="F30" s="23"/>
      <c r="G30" s="23"/>
      <c r="H30" s="6"/>
      <c r="I30" s="24"/>
      <c r="J30" s="25"/>
      <c r="K30" s="6"/>
      <c r="L30" s="6"/>
      <c r="M30" s="6"/>
      <c r="N30" s="6"/>
      <c r="O30" s="6"/>
      <c r="P30" s="6"/>
      <c r="Q30" s="6"/>
      <c r="R30" s="6"/>
      <c r="S30" s="6"/>
      <c r="T30" s="6"/>
      <c r="U30" s="6"/>
      <c r="V30" s="6"/>
      <c r="W30" s="6"/>
      <c r="X30" s="6"/>
      <c r="Y30" s="6"/>
      <c r="Z30" s="6"/>
      <c r="AA30" s="6"/>
    </row>
    <row r="31">
      <c r="A31" s="6"/>
      <c r="C31" s="6"/>
      <c r="D31" s="23"/>
      <c r="E31" s="23"/>
      <c r="F31" s="23"/>
      <c r="G31" s="23"/>
      <c r="H31" s="6"/>
      <c r="I31" s="24"/>
      <c r="J31" s="25"/>
      <c r="K31" s="6"/>
      <c r="L31" s="6"/>
      <c r="M31" s="6"/>
      <c r="N31" s="6"/>
      <c r="O31" s="6"/>
      <c r="P31" s="6"/>
      <c r="Q31" s="6"/>
      <c r="R31" s="6"/>
      <c r="S31" s="6"/>
      <c r="T31" s="6"/>
      <c r="U31" s="6"/>
      <c r="V31" s="6"/>
      <c r="W31" s="6"/>
      <c r="X31" s="6"/>
      <c r="Y31" s="6"/>
      <c r="Z31" s="6"/>
      <c r="AA31" s="6"/>
    </row>
    <row r="32">
      <c r="A32" s="6"/>
      <c r="C32" s="6"/>
      <c r="D32" s="23"/>
      <c r="E32" s="23"/>
      <c r="F32" s="23"/>
      <c r="G32" s="23"/>
      <c r="H32" s="6"/>
      <c r="I32" s="24"/>
      <c r="J32" s="25"/>
      <c r="K32" s="6"/>
      <c r="L32" s="6"/>
      <c r="M32" s="6"/>
      <c r="N32" s="6"/>
      <c r="O32" s="6"/>
      <c r="P32" s="6"/>
      <c r="Q32" s="6"/>
      <c r="R32" s="6"/>
      <c r="S32" s="6"/>
      <c r="T32" s="6"/>
      <c r="U32" s="6"/>
      <c r="V32" s="6"/>
      <c r="W32" s="6"/>
      <c r="X32" s="6"/>
      <c r="Y32" s="6"/>
      <c r="Z32" s="6"/>
      <c r="AA32" s="6"/>
    </row>
    <row r="33">
      <c r="A33" s="6"/>
      <c r="C33" s="6"/>
      <c r="D33" s="23"/>
      <c r="E33" s="23"/>
      <c r="F33" s="23"/>
      <c r="G33" s="23"/>
      <c r="H33" s="6"/>
      <c r="I33" s="24"/>
      <c r="J33" s="25"/>
      <c r="K33" s="6"/>
      <c r="L33" s="6"/>
      <c r="M33" s="6"/>
      <c r="N33" s="6"/>
      <c r="O33" s="6"/>
      <c r="P33" s="6"/>
      <c r="Q33" s="6"/>
      <c r="R33" s="6"/>
      <c r="S33" s="6"/>
      <c r="T33" s="6"/>
      <c r="U33" s="6"/>
      <c r="V33" s="6"/>
      <c r="W33" s="6"/>
      <c r="X33" s="6"/>
      <c r="Y33" s="6"/>
      <c r="Z33" s="6"/>
      <c r="AA33" s="6"/>
    </row>
    <row r="34">
      <c r="A34" s="6"/>
      <c r="C34" s="6"/>
      <c r="D34" s="23"/>
      <c r="E34" s="23"/>
      <c r="F34" s="23"/>
      <c r="G34" s="23"/>
      <c r="H34" s="6"/>
      <c r="I34" s="24"/>
      <c r="J34" s="25"/>
      <c r="K34" s="6"/>
      <c r="L34" s="6"/>
      <c r="M34" s="6"/>
      <c r="N34" s="6"/>
      <c r="O34" s="6"/>
      <c r="P34" s="6"/>
      <c r="Q34" s="6"/>
      <c r="R34" s="6"/>
      <c r="S34" s="6"/>
      <c r="T34" s="6"/>
      <c r="U34" s="6"/>
      <c r="V34" s="6"/>
      <c r="W34" s="6"/>
      <c r="X34" s="6"/>
      <c r="Y34" s="6"/>
      <c r="Z34" s="6"/>
      <c r="AA34" s="6"/>
    </row>
    <row r="35">
      <c r="A35" s="6"/>
      <c r="B35" s="6"/>
      <c r="C35" s="6"/>
      <c r="D35" s="6"/>
      <c r="E35" s="6"/>
      <c r="F35" s="6"/>
      <c r="G35" s="6"/>
      <c r="H35" s="6"/>
      <c r="I35" s="6"/>
      <c r="J35" s="6"/>
      <c r="K35" s="6"/>
      <c r="L35" s="6"/>
      <c r="M35" s="6"/>
      <c r="N35" s="6"/>
      <c r="O35" s="6"/>
      <c r="P35" s="6"/>
      <c r="Q35" s="6"/>
      <c r="R35" s="6"/>
      <c r="S35" s="6"/>
      <c r="T35" s="6"/>
      <c r="U35" s="6"/>
      <c r="V35" s="6"/>
      <c r="W35" s="6"/>
      <c r="X35" s="6"/>
      <c r="Y35" s="6"/>
      <c r="Z35" s="6"/>
      <c r="AA35" s="6"/>
    </row>
    <row r="36">
      <c r="A36" s="7"/>
      <c r="B36" s="7"/>
      <c r="C36" s="7"/>
      <c r="D36" s="23"/>
      <c r="E36" s="23"/>
      <c r="F36" s="23"/>
      <c r="G36" s="6"/>
      <c r="H36" s="6"/>
      <c r="I36" s="6"/>
      <c r="J36" s="7"/>
      <c r="K36" s="6"/>
      <c r="L36" s="6"/>
      <c r="M36" s="6"/>
      <c r="N36" s="6"/>
      <c r="O36" s="6"/>
      <c r="P36" s="6"/>
      <c r="Q36" s="6"/>
      <c r="R36" s="6"/>
      <c r="S36" s="6"/>
      <c r="T36" s="6"/>
      <c r="U36" s="6"/>
      <c r="V36" s="6"/>
      <c r="W36" s="6"/>
      <c r="X36" s="6"/>
      <c r="Y36" s="6"/>
      <c r="Z36" s="6"/>
      <c r="AA36" s="6"/>
    </row>
    <row r="37">
      <c r="A37" s="7"/>
      <c r="B37" s="7"/>
      <c r="C37" s="7"/>
      <c r="D37" s="23"/>
      <c r="E37" s="23"/>
      <c r="F37" s="23"/>
      <c r="G37" s="6"/>
      <c r="H37" s="6"/>
      <c r="I37" s="6"/>
      <c r="J37" s="7"/>
      <c r="K37" s="6"/>
      <c r="L37" s="6"/>
      <c r="M37" s="6"/>
      <c r="N37" s="6"/>
      <c r="O37" s="6"/>
      <c r="P37" s="6"/>
      <c r="Q37" s="6"/>
      <c r="R37" s="6"/>
      <c r="S37" s="6"/>
      <c r="T37" s="6"/>
      <c r="U37" s="6"/>
      <c r="V37" s="6"/>
      <c r="W37" s="6"/>
      <c r="X37" s="6"/>
      <c r="Y37" s="6"/>
      <c r="Z37" s="6"/>
      <c r="AA37" s="6"/>
    </row>
    <row r="38">
      <c r="A38" s="7"/>
      <c r="B38" s="7"/>
      <c r="C38" s="7"/>
      <c r="D38" s="23"/>
      <c r="E38" s="23"/>
      <c r="F38" s="23"/>
      <c r="G38" s="6"/>
      <c r="H38" s="6"/>
      <c r="I38" s="6"/>
      <c r="J38" s="7"/>
      <c r="K38" s="6"/>
      <c r="L38" s="6"/>
      <c r="M38" s="6"/>
      <c r="N38" s="6"/>
      <c r="O38" s="6"/>
      <c r="P38" s="6"/>
      <c r="Q38" s="6"/>
      <c r="R38" s="6"/>
      <c r="S38" s="6"/>
      <c r="T38" s="6"/>
      <c r="U38" s="6"/>
      <c r="V38" s="6"/>
      <c r="W38" s="6"/>
      <c r="X38" s="6"/>
      <c r="Y38" s="6"/>
      <c r="Z38" s="6"/>
      <c r="AA38" s="6"/>
    </row>
    <row r="39">
      <c r="A39" s="7"/>
      <c r="B39" s="7"/>
      <c r="C39" s="7"/>
      <c r="D39" s="23"/>
      <c r="E39" s="23"/>
      <c r="F39" s="23"/>
      <c r="G39" s="6"/>
      <c r="H39" s="6"/>
      <c r="I39" s="6"/>
      <c r="J39" s="7"/>
      <c r="K39" s="6"/>
      <c r="L39" s="6"/>
      <c r="M39" s="6"/>
      <c r="N39" s="6"/>
      <c r="O39" s="6"/>
      <c r="P39" s="6"/>
      <c r="Q39" s="6"/>
      <c r="R39" s="6"/>
      <c r="S39" s="6"/>
      <c r="T39" s="6"/>
      <c r="U39" s="6"/>
      <c r="V39" s="6"/>
      <c r="W39" s="6"/>
      <c r="X39" s="6"/>
      <c r="Y39" s="6"/>
      <c r="Z39" s="6"/>
      <c r="AA39" s="6"/>
    </row>
    <row r="40">
      <c r="A40" s="7"/>
      <c r="B40" s="7"/>
      <c r="C40" s="7"/>
      <c r="D40" s="23"/>
      <c r="E40" s="6"/>
      <c r="F40" s="6"/>
      <c r="G40" s="6"/>
      <c r="H40" s="6"/>
      <c r="I40" s="6"/>
      <c r="J40" s="7"/>
      <c r="K40" s="6"/>
      <c r="L40" s="6"/>
      <c r="M40" s="6"/>
      <c r="N40" s="6"/>
      <c r="O40" s="6"/>
      <c r="P40" s="6"/>
      <c r="Q40" s="6"/>
      <c r="R40" s="6"/>
      <c r="S40" s="6"/>
      <c r="T40" s="6"/>
      <c r="U40" s="6"/>
      <c r="V40" s="6"/>
      <c r="W40" s="6"/>
      <c r="X40" s="6"/>
      <c r="Y40" s="6"/>
      <c r="Z40" s="6"/>
      <c r="AA40" s="6"/>
    </row>
    <row r="41">
      <c r="A41" s="6"/>
      <c r="B41" s="6"/>
      <c r="C41" s="6"/>
      <c r="D41" s="6"/>
      <c r="E41" s="6"/>
      <c r="F41" s="6"/>
      <c r="G41" s="6"/>
      <c r="H41" s="6"/>
      <c r="I41" s="6"/>
      <c r="J41" s="6"/>
      <c r="K41" s="6"/>
      <c r="L41" s="6"/>
      <c r="M41" s="6"/>
      <c r="N41" s="6"/>
      <c r="O41" s="6"/>
      <c r="P41" s="6"/>
      <c r="Q41" s="6"/>
      <c r="R41" s="6"/>
      <c r="S41" s="6"/>
      <c r="T41" s="6"/>
      <c r="U41" s="6"/>
      <c r="V41" s="6"/>
      <c r="W41" s="6"/>
      <c r="X41" s="6"/>
      <c r="Y41" s="6"/>
      <c r="Z41" s="6"/>
      <c r="AA41" s="6"/>
    </row>
    <row r="43">
      <c r="A43" s="6"/>
      <c r="B43" s="6"/>
      <c r="C43" s="7"/>
      <c r="D43" s="23"/>
      <c r="E43" s="23"/>
      <c r="F43" s="6"/>
      <c r="G43" s="23"/>
      <c r="H43" s="6"/>
      <c r="I43" s="6"/>
      <c r="J43" s="25"/>
      <c r="K43" s="6"/>
      <c r="L43" s="6"/>
      <c r="M43" s="6"/>
      <c r="N43" s="6"/>
      <c r="O43" s="6"/>
      <c r="P43" s="6"/>
      <c r="Q43" s="6"/>
      <c r="R43" s="6"/>
      <c r="S43" s="6"/>
      <c r="T43" s="6"/>
      <c r="U43" s="6"/>
      <c r="V43" s="6"/>
      <c r="W43" s="6"/>
      <c r="X43" s="6"/>
      <c r="Y43" s="6"/>
      <c r="Z43" s="6"/>
      <c r="AA43" s="6"/>
    </row>
    <row r="44">
      <c r="A44" s="6"/>
      <c r="B44" s="6"/>
      <c r="C44" s="7"/>
      <c r="D44" s="23"/>
      <c r="E44" s="23"/>
      <c r="F44" s="6"/>
      <c r="G44" s="23"/>
      <c r="H44" s="6"/>
      <c r="I44" s="6"/>
      <c r="J44" s="25"/>
      <c r="K44" s="6"/>
      <c r="L44" s="6"/>
      <c r="M44" s="6"/>
      <c r="N44" s="6"/>
      <c r="O44" s="6"/>
      <c r="P44" s="6"/>
      <c r="Q44" s="6"/>
      <c r="R44" s="6"/>
      <c r="S44" s="6"/>
      <c r="T44" s="6"/>
      <c r="U44" s="6"/>
      <c r="V44" s="6"/>
      <c r="W44" s="6"/>
      <c r="X44" s="6"/>
      <c r="Y44" s="6"/>
      <c r="Z44" s="6"/>
      <c r="AA44" s="6"/>
    </row>
    <row r="45">
      <c r="A45" s="6"/>
      <c r="B45" s="6"/>
      <c r="C45" s="7"/>
      <c r="D45" s="23"/>
      <c r="E45" s="23"/>
      <c r="F45" s="6"/>
      <c r="G45" s="23"/>
      <c r="H45" s="6"/>
      <c r="I45" s="6"/>
      <c r="J45" s="6"/>
      <c r="K45" s="6"/>
      <c r="L45" s="6"/>
      <c r="M45" s="6"/>
      <c r="N45" s="6"/>
      <c r="O45" s="6"/>
      <c r="P45" s="6"/>
      <c r="Q45" s="6"/>
      <c r="R45" s="6"/>
      <c r="S45" s="6"/>
      <c r="T45" s="6"/>
      <c r="U45" s="6"/>
      <c r="V45" s="6"/>
      <c r="W45" s="6"/>
      <c r="X45" s="6"/>
      <c r="Y45" s="6"/>
      <c r="Z45" s="6"/>
      <c r="AA45" s="6"/>
    </row>
    <row r="46">
      <c r="A46" s="6"/>
      <c r="B46" s="6"/>
      <c r="C46" s="7"/>
      <c r="D46" s="23"/>
      <c r="E46" s="23"/>
      <c r="F46" s="6"/>
      <c r="G46" s="23"/>
      <c r="H46" s="6"/>
      <c r="I46" s="6"/>
      <c r="J46" s="6"/>
      <c r="K46" s="6"/>
      <c r="L46" s="6"/>
      <c r="M46" s="6"/>
      <c r="N46" s="6"/>
      <c r="O46" s="6"/>
      <c r="P46" s="6"/>
      <c r="Q46" s="6"/>
      <c r="R46" s="6"/>
      <c r="S46" s="6"/>
      <c r="T46" s="6"/>
      <c r="U46" s="6"/>
      <c r="V46" s="6"/>
      <c r="W46" s="6"/>
      <c r="X46" s="6"/>
      <c r="Y46" s="6"/>
      <c r="Z46" s="6"/>
      <c r="AA46" s="6"/>
    </row>
  </sheetData>
  <drawing r:id="rId4"/>
  <legacyDrawing r:id="rId5"/>
</worksheet>
</file>